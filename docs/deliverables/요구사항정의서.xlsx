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구사항 총괄" sheetId="2" state="visible" r:id="rId2"/>
    <sheet xmlns:r="http://schemas.openxmlformats.org/officeDocument/2006/relationships" name="RFP 추적" sheetId="3" state="visible" r:id="rId3"/>
    <sheet xmlns:r="http://schemas.openxmlformats.org/officeDocument/2006/relationships" name="RFP 충족 판정" sheetId="4" state="visible" r:id="rId4"/>
    <sheet xmlns:r="http://schemas.openxmlformats.org/officeDocument/2006/relationships" name="권한관리" sheetId="5" state="visible" r:id="rId5"/>
    <sheet xmlns:r="http://schemas.openxmlformats.org/officeDocument/2006/relationships" name="인사정보관리" sheetId="6" state="visible" r:id="rId6"/>
    <sheet xmlns:r="http://schemas.openxmlformats.org/officeDocument/2006/relationships" name="근태관리" sheetId="7" state="visible" r:id="rId7"/>
    <sheet xmlns:r="http://schemas.openxmlformats.org/officeDocument/2006/relationships" name="게시판" sheetId="8" state="visible" r:id="rId8"/>
    <sheet xmlns:r="http://schemas.openxmlformats.org/officeDocument/2006/relationships" name="회원관리" sheetId="9" state="visible" r:id="rId9"/>
    <sheet xmlns:r="http://schemas.openxmlformats.org/officeDocument/2006/relationships" name="예약및결제" sheetId="10" state="visible" r:id="rId10"/>
    <sheet xmlns:r="http://schemas.openxmlformats.org/officeDocument/2006/relationships" name="강사프로그램게시" sheetId="11" state="visible" r:id="rId11"/>
    <sheet xmlns:r="http://schemas.openxmlformats.org/officeDocument/2006/relationships" name="혼잡도관리" sheetId="12" state="visible" r:id="rId12"/>
    <sheet xmlns:r="http://schemas.openxmlformats.org/officeDocument/2006/relationships" name="자원문서관리" sheetId="13" state="visible" r:id="rId13"/>
    <sheet xmlns:r="http://schemas.openxmlformats.org/officeDocument/2006/relationships" name="미구현" sheetId="14" state="visible" r:id="rId14"/>
    <sheet xmlns:r="http://schemas.openxmlformats.org/officeDocument/2006/relationships" name="범위 제외" sheetId="15" state="visible" r:id="rId15"/>
  </sheets>
  <definedNames>
    <definedName name="_xlnm._FilterDatabase" localSheetId="1" hidden="1">'요구사항 총괄'!$A$11:$G$182</definedName>
    <definedName name="_xlnm._FilterDatabase" localSheetId="3" hidden="1">'RFP 충족 판정'!$A$17:$E$89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5F"/>
      <sz val="16"/>
    </font>
    <font>
      <name val="맑은 고딕"/>
      <color rgb="004B5563"/>
      <sz val="10"/>
    </font>
    <font>
      <name val="맑은 고딕"/>
      <b val="1"/>
      <color rgb="001E3A5F"/>
      <sz val="12"/>
    </font>
    <font>
      <name val="맑은 고딕"/>
      <color rgb="0014191C"/>
      <sz val="10"/>
    </font>
    <font>
      <name val="맑은 고딕"/>
      <b val="1"/>
      <color rgb="00FFFFFF"/>
      <sz val="10"/>
    </font>
    <font>
      <name val="맑은 고딕"/>
      <b val="1"/>
      <color rgb="0014191C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3F3EB"/>
      </patternFill>
    </fill>
    <fill>
      <patternFill patternType="solid">
        <fgColor rgb="00F8E6E4"/>
      </patternFill>
    </fill>
    <fill>
      <patternFill patternType="solid">
        <fgColor rgb="00F2F4F3"/>
      </patternFill>
    </fill>
    <fill>
      <patternFill patternType="solid">
        <fgColor rgb="00FBEEDD"/>
      </patternFill>
    </fill>
    <fill>
      <patternFill patternType="solid">
        <fgColor rgb="00E7ECF1"/>
      </patternFill>
    </fill>
  </fills>
  <borders count="6">
    <border>
      <left/>
      <right/>
      <top/>
      <bottom/>
      <diagonal/>
    </border>
    <border>
      <left style="thin">
        <color rgb="00CBD0CD"/>
      </left>
      <right style="thin">
        <color rgb="00CBD0CD"/>
      </right>
      <top style="thin">
        <color rgb="00CBD0CD"/>
      </top>
      <bottom style="thin">
        <color rgb="00CBD0CD"/>
      </bottom>
    </border>
    <border>
      <left/>
      <right/>
      <top style="thin">
        <color rgb="00CBD0CD"/>
      </top>
      <bottom/>
      <diagonal/>
    </border>
    <border>
      <left/>
      <right style="thin">
        <color rgb="00CBD0CD"/>
      </right>
      <top style="thin">
        <color rgb="00CBD0CD"/>
      </top>
      <bottom/>
      <diagonal/>
    </border>
    <border>
      <left/>
      <right/>
      <top style="thin">
        <color rgb="00CBD0CD"/>
      </top>
      <bottom style="thin">
        <color rgb="00CBD0CD"/>
      </bottom>
      <diagonal/>
    </border>
    <border>
      <left/>
      <right style="thin">
        <color rgb="00CBD0CD"/>
      </right>
      <top style="thin">
        <color rgb="00CBD0CD"/>
      </top>
      <bottom style="thin">
        <color rgb="00CBD0C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7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스포이즘 ERP — 요구사항 정의서</t>
        </is>
      </c>
    </row>
    <row r="2">
      <c r="A2" s="2" t="inlineStr">
        <is>
          <t>요구사항 총괄 · RFP 추적 · RFP 충족 판정 · 도메인별 요구사항 · 미구현 · 범위 제외</t>
        </is>
      </c>
    </row>
    <row r="4">
      <c r="A4" s="3" t="inlineStr">
        <is>
          <t>프로젝트</t>
        </is>
      </c>
      <c r="B4" s="4" t="inlineStr">
        <is>
          <t>스포이즘 ERP — 아파트·오피스텔 커뮤니티 시설 위탁운영 관리 시스템</t>
        </is>
      </c>
    </row>
    <row r="5">
      <c r="A5" s="3" t="inlineStr">
        <is>
          <t>문서</t>
        </is>
      </c>
      <c r="B5" s="4" t="inlineStr">
        <is>
          <t>요구사항 정의서</t>
        </is>
      </c>
    </row>
    <row r="6">
      <c r="A6" s="3" t="inlineStr">
        <is>
          <t>작성일</t>
        </is>
      </c>
      <c r="B6" s="4" t="inlineStr">
        <is>
          <t>2026-10-19</t>
        </is>
      </c>
    </row>
    <row r="7">
      <c r="A7" s="3" t="inlineStr">
        <is>
          <t>기준</t>
        </is>
      </c>
      <c r="B7" s="4" t="inlineStr">
        <is>
          <t>2026-10-19 저장소(dev 브랜치) — 도메인 문서·요구사항추적표·실제 API 라우트에서 자동 생성</t>
        </is>
      </c>
    </row>
    <row r="8">
      <c r="A8" s="3" t="inlineStr">
        <is>
          <t>규모</t>
        </is>
      </c>
      <c r="B8" s="4" t="inlineStr">
        <is>
          <t>도메인 9개 · 기능(API) 97개 · 불변규칙 26개 · RFP 미구현·부분 6건 · 자동 테스트 파일 43개</t>
        </is>
      </c>
    </row>
    <row r="9">
      <c r="A9" s="3" t="inlineStr">
        <is>
          <t>RFP 충족</t>
        </is>
      </c>
      <c r="B9" s="4" t="inlineStr">
        <is>
          <t>조항 72개 중 해당 없음 8개를 뺀 충족률 51/64 = 80% / 95%(구현+조정 / 부분 포함)</t>
        </is>
      </c>
    </row>
    <row r="10">
      <c r="A10" s="3" t="inlineStr">
        <is>
          <t>범위</t>
        </is>
      </c>
      <c r="B10" s="4" t="inlineStr">
        <is>
          <t>관리자 웹(본사·지점 관리자·직원) + 회원 모바일 웹(/m/, 2026-10-09 배포) + REST API. 대상 지점은 수도권 83곳(지방 15곳 제외)</t>
        </is>
      </c>
    </row>
    <row r="12">
      <c r="A12" s="5" t="inlineStr">
        <is>
          <t>요구사항 ID 규칙</t>
        </is>
      </c>
    </row>
    <row r="13">
      <c r="A13" s="3" t="inlineStr">
        <is>
          <t>F·Q + 번호</t>
        </is>
      </c>
      <c r="B13" s="4" t="inlineStr">
        <is>
          <t>RFP 원문을 재분류한 기능(F)·품질(Q) 요구 — 도메인 문서 §1의 ID 그대로</t>
        </is>
      </c>
    </row>
    <row r="14">
      <c r="A14" s="3" t="inlineStr">
        <is>
          <t>&lt;도메인&gt;-INV-nn</t>
        </is>
      </c>
      <c r="B14" s="4" t="inlineStr">
        <is>
          <t>불변규칙 — 어떤 경우에도 깨지면 안 되는 규칙</t>
        </is>
      </c>
    </row>
    <row r="15">
      <c r="A15" s="3" t="inlineStr">
        <is>
          <t>&lt;도메인&gt;-FN-nn</t>
        </is>
      </c>
      <c r="B15" s="4" t="inlineStr">
        <is>
          <t>기능 명세 — 실제 API 하나에 하나</t>
        </is>
      </c>
    </row>
    <row r="16">
      <c r="A16" s="3" t="inlineStr">
        <is>
          <t>GAP-nn</t>
        </is>
      </c>
      <c r="B16" s="4" t="inlineStr">
        <is>
          <t>RFP가 요구하는데 아직 없거나 일부만 있는 항목</t>
        </is>
      </c>
    </row>
    <row r="17">
      <c r="A17" s="3" t="inlineStr">
        <is>
          <t>F·N·T·P·C + 번호</t>
        </is>
      </c>
      <c r="B17" s="4" t="inlineStr">
        <is>
          <t>RFP 조항 — 기능·성능(F, 원문 순번-글머리), 시스템~제약(N), 과업(T), 산출물(P), 개념도(C)</t>
        </is>
      </c>
    </row>
    <row r="18">
      <c r="A18" s="3" t="inlineStr">
        <is>
          <t>도메인 약어</t>
        </is>
      </c>
      <c r="B18" s="4" t="inlineStr">
        <is>
          <t>AUTH=권한관리, STF=인사정보관리, ATT=근태관리, BRD=게시판, MEM=회원관리, RSV=예약및결제, PRG=강사프로그램게시, FAC=혼잡도관리, RES=자원문서관리, COM=공통</t>
        </is>
      </c>
    </row>
    <row r="20">
      <c r="A20" s="5" t="inlineStr">
        <is>
          <t>상태 표기</t>
        </is>
      </c>
    </row>
    <row r="21">
      <c r="A21" s="3" t="inlineStr">
        <is>
          <t>구현(API+화면)</t>
        </is>
      </c>
      <c r="B21" s="4" t="inlineStr">
        <is>
          <t>API와 그것을 부르는 화면이 있다 — 괄호에 관리자 웹·회원 웹 중 어느 쪽인지 적는다</t>
        </is>
      </c>
    </row>
    <row r="22">
      <c r="A22" s="3" t="inlineStr">
        <is>
          <t>API만</t>
        </is>
      </c>
      <c r="B22" s="4" t="inlineStr">
        <is>
          <t>API는 있고 화면이 없다(사유를 괄호에 적음)</t>
        </is>
      </c>
    </row>
    <row r="23">
      <c r="A23" s="3" t="inlineStr">
        <is>
          <t>미구현</t>
        </is>
      </c>
      <c r="B23" s="4" t="inlineStr">
        <is>
          <t>RFP 요구인데 아직 없다</t>
        </is>
      </c>
    </row>
    <row r="24">
      <c r="A24" s="3" t="inlineStr">
        <is>
          <t>범위 제외</t>
        </is>
      </c>
      <c r="B24" s="4" t="inlineStr">
        <is>
          <t>근거를 두고 의도적으로 만들지 않았다</t>
        </is>
      </c>
    </row>
    <row r="25">
      <c r="A25" s="3" t="inlineStr">
        <is>
          <t>구현·조정·부분·해당 없음</t>
        </is>
      </c>
      <c r="B25" s="4" t="inlineStr">
        <is>
          <t>RFP 충족 판정 시트의 판정(기준은 그 시트 위)</t>
        </is>
      </c>
    </row>
    <row r="26">
      <c r="A26" s="3" t="inlineStr">
        <is>
          <t>검증</t>
        </is>
      </c>
      <c r="B26" s="4" t="inlineStr">
        <is>
          <t>자동 테스트는 API(jest)만 있다. 관리자 웹·회원 웹은 lint·빌드(타입체크)까지만 검증된다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70" customWidth="1" min="4" max="4"/>
    <col width="10" customWidth="1" min="5" max="5"/>
    <col width="8" customWidth="1" min="6" max="6"/>
    <col width="50" customWidth="1" min="7" max="7"/>
  </cols>
  <sheetData>
    <row r="1">
      <c r="A1" s="1" t="inlineStr">
        <is>
          <t>요구사항 총괄</t>
        </is>
      </c>
    </row>
    <row r="2">
      <c r="A2" s="2" t="inlineStr">
        <is>
          <t>헤더 필터로 도메인·구분·상태별로 볼 수 있다. 위 집계는 아래 표를 세는 수식이다</t>
        </is>
      </c>
    </row>
    <row r="4">
      <c r="A4" s="6" t="inlineStr">
        <is>
          <t>집계</t>
        </is>
      </c>
      <c r="B4" s="6" t="inlineStr">
        <is>
          <t>건수</t>
        </is>
      </c>
    </row>
    <row r="5">
      <c r="A5" s="7" t="inlineStr">
        <is>
          <t>기능(API) 수</t>
        </is>
      </c>
      <c r="B5" s="8">
        <f>COUNTIF($C$12:$C$183,"기능")</f>
        <v/>
      </c>
    </row>
    <row r="6">
      <c r="A6" s="7" t="inlineStr">
        <is>
          <t xml:space="preserve">  └ 화면 있음</t>
        </is>
      </c>
      <c r="B6" s="8">
        <f>COUNTIFS($C$12:$C$183,"기능",$F$12:$F$183,"있음")</f>
        <v/>
      </c>
    </row>
    <row r="7">
      <c r="A7" s="7" t="inlineStr">
        <is>
          <t xml:space="preserve">  └ 화면 없음(API만)</t>
        </is>
      </c>
      <c r="B7" s="8">
        <f>COUNTIFS($C$12:$C$183,"기능",$F$12:$F$183,"없음")</f>
        <v/>
      </c>
    </row>
    <row r="8">
      <c r="A8" s="7" t="inlineStr">
        <is>
          <t>불변규칙 수</t>
        </is>
      </c>
      <c r="B8" s="8">
        <f>COUNTIF($C$12:$C$183,"불변규칙")</f>
        <v/>
      </c>
    </row>
    <row r="9">
      <c r="A9" s="7" t="inlineStr">
        <is>
          <t>RFP 미구현·부분 항목</t>
        </is>
      </c>
      <c r="B9" s="8">
        <f>COUNTIF($C$12:$C$183,"미구현")</f>
        <v/>
      </c>
    </row>
    <row r="11">
      <c r="A11" s="6" t="inlineStr">
        <is>
          <t>요구사항 ID</t>
        </is>
      </c>
      <c r="B11" s="6" t="inlineStr">
        <is>
          <t>도메인</t>
        </is>
      </c>
      <c r="C11" s="6" t="inlineStr">
        <is>
          <t>구분</t>
        </is>
      </c>
      <c r="D11" s="6" t="inlineStr">
        <is>
          <t>내용</t>
        </is>
      </c>
      <c r="E11" s="6" t="inlineStr">
        <is>
          <t>상태</t>
        </is>
      </c>
      <c r="F11" s="6" t="inlineStr">
        <is>
          <t>화면</t>
        </is>
      </c>
      <c r="G11" s="6" t="inlineStr">
        <is>
          <t>근거·검증</t>
        </is>
      </c>
    </row>
    <row r="12">
      <c r="A12" s="9" t="inlineStr">
        <is>
          <t>F01a</t>
        </is>
      </c>
      <c r="B12" s="9" t="inlineStr">
        <is>
          <t>권한관리</t>
        </is>
      </c>
      <c r="C12" s="9" t="inlineStr">
        <is>
          <t>원문 기능</t>
        </is>
      </c>
      <c r="D12" s="9" t="inlineStr">
        <is>
          <t>권한관리 기능은 관리자 계정에만 부여</t>
        </is>
      </c>
      <c r="E12" s="9" t="inlineStr">
        <is>
          <t>-</t>
        </is>
      </c>
      <c r="F12" s="9" t="inlineStr">
        <is>
          <t>-</t>
        </is>
      </c>
      <c r="G12" s="9" t="inlineStr"/>
    </row>
    <row r="13">
      <c r="A13" s="9" t="inlineStr">
        <is>
          <t>F01b</t>
        </is>
      </c>
      <c r="B13" s="9" t="inlineStr">
        <is>
          <t>권한관리</t>
        </is>
      </c>
      <c r="C13" s="9" t="inlineStr">
        <is>
          <t>원문 기능</t>
        </is>
      </c>
      <c r="D13" s="9" t="inlineStr">
        <is>
          <t>사용자별·프로그램별 권한 설정(입력/수정/삭제/조회/출력)</t>
        </is>
      </c>
      <c r="E13" s="9" t="inlineStr">
        <is>
          <t>-</t>
        </is>
      </c>
      <c r="F13" s="9" t="inlineStr">
        <is>
          <t>-</t>
        </is>
      </c>
      <c r="G13" s="9" t="inlineStr"/>
    </row>
    <row r="14">
      <c r="A14" s="9" t="inlineStr">
        <is>
          <t>F01c</t>
        </is>
      </c>
      <c r="B14" s="9" t="inlineStr">
        <is>
          <t>권한관리</t>
        </is>
      </c>
      <c r="C14" s="9" t="inlineStr">
        <is>
          <t>원문 기능</t>
        </is>
      </c>
      <c r="D14" s="9" t="inlineStr">
        <is>
          <t>본사↔현장, 현장↔이용자 간 별도 권한 관리</t>
        </is>
      </c>
      <c r="E14" s="9" t="inlineStr">
        <is>
          <t>-</t>
        </is>
      </c>
      <c r="F14" s="9" t="inlineStr">
        <is>
          <t>-</t>
        </is>
      </c>
      <c r="G14" s="9" t="inlineStr"/>
    </row>
    <row r="15">
      <c r="A15" s="9" t="inlineStr">
        <is>
          <t>F01d</t>
        </is>
      </c>
      <c r="B15" s="9" t="inlineStr">
        <is>
          <t>권한관리</t>
        </is>
      </c>
      <c r="C15" s="9" t="inlineStr">
        <is>
          <t>원문 기능</t>
        </is>
      </c>
      <c r="D15" s="9" t="inlineStr">
        <is>
          <t>퇴사 처리 이후 시스템 접근통제</t>
        </is>
      </c>
      <c r="E15" s="9" t="inlineStr">
        <is>
          <t>-</t>
        </is>
      </c>
      <c r="F15" s="9" t="inlineStr">
        <is>
          <t>-</t>
        </is>
      </c>
      <c r="G15" s="9" t="inlineStr"/>
    </row>
    <row r="16">
      <c r="A16" s="9" t="inlineStr">
        <is>
          <t>Q11</t>
        </is>
      </c>
      <c r="B16" s="9" t="inlineStr">
        <is>
          <t>권한관리</t>
        </is>
      </c>
      <c r="C16" s="9" t="inlineStr">
        <is>
          <t>원문 품질</t>
        </is>
      </c>
      <c r="D16" s="9" t="inlineStr">
        <is>
          <t>접근 통제가 그룹별·개인별·기능별로 구체적이어야 함</t>
        </is>
      </c>
      <c r="E16" s="9" t="inlineStr">
        <is>
          <t>-</t>
        </is>
      </c>
      <c r="F16" s="9" t="inlineStr">
        <is>
          <t>-</t>
        </is>
      </c>
      <c r="G16" s="9" t="inlineStr"/>
    </row>
    <row r="17">
      <c r="A17" s="9" t="inlineStr">
        <is>
          <t>Q15</t>
        </is>
      </c>
      <c r="B17" s="9" t="inlineStr">
        <is>
          <t>권한관리</t>
        </is>
      </c>
      <c r="C17" s="9" t="inlineStr">
        <is>
          <t>원문 품질</t>
        </is>
      </c>
      <c r="D17" s="9" t="inlineStr">
        <is>
          <t>사용자 권한에 따라 버튼(수정/삭제/조회) 기능 제어</t>
        </is>
      </c>
      <c r="E17" s="9" t="inlineStr">
        <is>
          <t>-</t>
        </is>
      </c>
      <c r="F17" s="9" t="inlineStr">
        <is>
          <t>-</t>
        </is>
      </c>
      <c r="G17" s="9" t="inlineStr"/>
    </row>
    <row r="18">
      <c r="A18" s="9" t="inlineStr">
        <is>
          <t>AUTH-C07</t>
        </is>
      </c>
      <c r="B18" s="9" t="inlineStr">
        <is>
          <t>권한관리</t>
        </is>
      </c>
      <c r="C18" s="9" t="inlineStr">
        <is>
          <t>원문 제약</t>
        </is>
      </c>
      <c r="D18" s="9" t="inlineStr">
        <is>
          <t>C01(과업 기간)이 간접 제약: 1인 개발 일정상 엔터프라이즈급 ACL을 만들 여유가 없다 — 아래 Driver 3의 판단 근거.</t>
        </is>
      </c>
      <c r="E18" s="9" t="inlineStr">
        <is>
          <t>-</t>
        </is>
      </c>
      <c r="F18" s="9" t="inlineStr">
        <is>
          <t>-</t>
        </is>
      </c>
      <c r="G18" s="9" t="inlineStr"/>
    </row>
    <row r="19">
      <c r="A19" s="9" t="inlineStr">
        <is>
          <t>AUTH-INV-01</t>
        </is>
      </c>
      <c r="B19" s="9" t="inlineStr">
        <is>
          <t>권한관리</t>
        </is>
      </c>
      <c r="C19" s="9" t="inlineStr">
        <is>
          <t>불변규칙</t>
        </is>
      </c>
      <c r="D19" s="9" t="inlineStr">
        <is>
          <t>퇴사·탈퇴 처리된 계정은 즉시 접근이 차단된다. (F01d, RFP 원문 그대로 — "몇 분까지는 봐준다"가 성립할 수 없는 성격)</t>
        </is>
      </c>
      <c r="E19" s="10" t="inlineStr">
        <is>
          <t>구현</t>
        </is>
      </c>
      <c r="F19" s="9" t="inlineStr">
        <is>
          <t>-</t>
        </is>
      </c>
      <c r="G19" s="9" t="inlineStr">
        <is>
          <t>auth-lifecycle·auth-refresh-token·auth-password·hr-authority·contract-termination·branch-isolation·branch-scope-coverage spec</t>
        </is>
      </c>
    </row>
    <row r="20">
      <c r="A20" s="9" t="inlineStr">
        <is>
          <t>AUTH-INV-02</t>
        </is>
      </c>
      <c r="B20" s="9" t="inlineStr">
        <is>
          <t>권한관리</t>
        </is>
      </c>
      <c r="C20" s="9" t="inlineStr">
        <is>
          <t>불변규칙</t>
        </is>
      </c>
      <c r="D20" s="9" t="inlineStr">
        <is>
          <t>채용·재배치·Role 변경은 본사(SUPER_ADMIN)만 한다. (CLAUDE.md 4대 불변식 — 인사 권한 분리)</t>
        </is>
      </c>
      <c r="E20" s="10" t="inlineStr">
        <is>
          <t>구현</t>
        </is>
      </c>
      <c r="F20" s="9" t="inlineStr">
        <is>
          <t>-</t>
        </is>
      </c>
      <c r="G20" s="9" t="inlineStr">
        <is>
          <t>auth-lifecycle·auth-refresh-token·auth-password·hr-authority·contract-termination·branch-isolation·branch-scope-coverage spec</t>
        </is>
      </c>
    </row>
    <row r="21">
      <c r="A21" s="9" t="inlineStr">
        <is>
          <t>AUTH-INV-03</t>
        </is>
      </c>
      <c r="B21" s="9" t="inlineStr">
        <is>
          <t>권한관리</t>
        </is>
      </c>
      <c r="C21" s="9" t="inlineStr">
        <is>
          <t>불변규칙</t>
        </is>
      </c>
      <c r="D21" s="9" t="inlineStr">
        <is>
          <t>BRANCH_ADMIN·STAFF·MEMBER는 자기 소속 범위를 벗어난 데이터에 접근할 수 없다. (CLAUDE.md 4대 불변식 — 지점 데이터 격리. 권한관리 도메인은 이 규칙을 *구현하는 메커니즘*의 근원이다)</t>
        </is>
      </c>
      <c r="E21" s="10" t="inlineStr">
        <is>
          <t>구현</t>
        </is>
      </c>
      <c r="F21" s="9" t="inlineStr">
        <is>
          <t>-</t>
        </is>
      </c>
      <c r="G21" s="9" t="inlineStr">
        <is>
          <t>auth-lifecycle·auth-refresh-token·auth-password·hr-authority·contract-termination·branch-isolation·branch-scope-coverage spec</t>
        </is>
      </c>
    </row>
    <row r="22">
      <c r="A22" s="9" t="inlineStr">
        <is>
          <t>AUTH-FN-01</t>
        </is>
      </c>
      <c r="B22" s="9" t="inlineStr">
        <is>
          <t>권한관리</t>
        </is>
      </c>
      <c r="C22" s="9" t="inlineStr">
        <is>
          <t>기능</t>
        </is>
      </c>
      <c r="D22" s="9" t="inlineStr">
        <is>
          <t>이메일·비밀번호 로그인 — 액세스·리프레시 토큰 발급, 비활성 계정 차단</t>
        </is>
      </c>
      <c r="E22" s="10" t="inlineStr">
        <is>
          <t>구현</t>
        </is>
      </c>
      <c r="F22" s="9" t="inlineStr">
        <is>
          <t>있음</t>
        </is>
      </c>
      <c r="G22" s="9" t="inlineStr">
        <is>
          <t>POST /auth/login</t>
        </is>
      </c>
    </row>
    <row r="23">
      <c r="A23" s="9" t="inlineStr">
        <is>
          <t>AUTH-FN-02</t>
        </is>
      </c>
      <c r="B23" s="9" t="inlineStr">
        <is>
          <t>권한관리</t>
        </is>
      </c>
      <c r="C23" s="9" t="inlineStr">
        <is>
          <t>기능</t>
        </is>
      </c>
      <c r="D23" s="9" t="inlineStr">
        <is>
          <t>로그아웃 — 리프레시 토큰 폐기</t>
        </is>
      </c>
      <c r="E23" s="10" t="inlineStr">
        <is>
          <t>구현</t>
        </is>
      </c>
      <c r="F23" s="9" t="inlineStr">
        <is>
          <t>불필요</t>
        </is>
      </c>
      <c r="G23" s="9" t="inlineStr">
        <is>
          <t>POST /auth/logout</t>
        </is>
      </c>
    </row>
    <row r="24">
      <c r="A24" s="9" t="inlineStr">
        <is>
          <t>AUTH-FN-03</t>
        </is>
      </c>
      <c r="B24" s="9" t="inlineStr">
        <is>
          <t>권한관리</t>
        </is>
      </c>
      <c r="C24" s="9" t="inlineStr">
        <is>
          <t>기능</t>
        </is>
      </c>
      <c r="D24" s="9" t="inlineStr">
        <is>
          <t>내 계정 정보</t>
        </is>
      </c>
      <c r="E24" s="10" t="inlineStr">
        <is>
          <t>구현</t>
        </is>
      </c>
      <c r="F24" s="9" t="inlineStr">
        <is>
          <t>불필요</t>
        </is>
      </c>
      <c r="G24" s="9" t="inlineStr">
        <is>
          <t>GET /auth/me</t>
        </is>
      </c>
    </row>
    <row r="25">
      <c r="A25" s="9" t="inlineStr">
        <is>
          <t>AUTH-FN-04</t>
        </is>
      </c>
      <c r="B25" s="9" t="inlineStr">
        <is>
          <t>권한관리</t>
        </is>
      </c>
      <c r="C25" s="9" t="inlineStr">
        <is>
          <t>기능</t>
        </is>
      </c>
      <c r="D25" s="9" t="inlineStr">
        <is>
          <t>비밀번호 변경 — 현재 비밀번호 확인, 변경 시 리프레시 토큰 전부 폐기, 데모 계정 403(ADR-AUTH-05)</t>
        </is>
      </c>
      <c r="E25" s="10" t="inlineStr">
        <is>
          <t>구현</t>
        </is>
      </c>
      <c r="F25" s="9" t="inlineStr">
        <is>
          <t>있음</t>
        </is>
      </c>
      <c r="G25" s="9" t="inlineStr">
        <is>
          <t>PATCH /auth/password</t>
        </is>
      </c>
    </row>
    <row r="26">
      <c r="A26" s="9" t="inlineStr">
        <is>
          <t>AUTH-FN-05</t>
        </is>
      </c>
      <c r="B26" s="9" t="inlineStr">
        <is>
          <t>권한관리</t>
        </is>
      </c>
      <c r="C26" s="9" t="inlineStr">
        <is>
          <t>기능</t>
        </is>
      </c>
      <c r="D26" s="9" t="inlineStr">
        <is>
          <t>리프레시 토큰으로 재발급(1회용 교체)</t>
        </is>
      </c>
      <c r="E26" s="10" t="inlineStr">
        <is>
          <t>구현</t>
        </is>
      </c>
      <c r="F26" s="9" t="inlineStr">
        <is>
          <t>불필요</t>
        </is>
      </c>
      <c r="G26" s="9" t="inlineStr">
        <is>
          <t>POST /auth/refresh</t>
        </is>
      </c>
    </row>
    <row r="27">
      <c r="A27" s="9" t="inlineStr">
        <is>
          <t>AUTH-FN-06</t>
        </is>
      </c>
      <c r="B27" s="9" t="inlineStr">
        <is>
          <t>권한관리</t>
        </is>
      </c>
      <c r="C27" s="9" t="inlineStr">
        <is>
          <t>기능</t>
        </is>
      </c>
      <c r="D27" s="9" t="inlineStr">
        <is>
          <t>직원 계정과 역할 목록(본사)</t>
        </is>
      </c>
      <c r="E27" s="10" t="inlineStr">
        <is>
          <t>구현</t>
        </is>
      </c>
      <c r="F27" s="9" t="inlineStr">
        <is>
          <t>있음</t>
        </is>
      </c>
      <c r="G27" s="9" t="inlineStr">
        <is>
          <t>GET /permissions/staff</t>
        </is>
      </c>
    </row>
    <row r="28">
      <c r="A28" s="9" t="inlineStr">
        <is>
          <t>AUTH-FN-07</t>
        </is>
      </c>
      <c r="B28" s="9" t="inlineStr">
        <is>
          <t>권한관리</t>
        </is>
      </c>
      <c r="C28" s="9" t="inlineStr">
        <is>
          <t>기능</t>
        </is>
      </c>
      <c r="D28" s="9" t="inlineStr">
        <is>
          <t>직원 역할 전환(지점 관리자 ↔ 직원, 본사)</t>
        </is>
      </c>
      <c r="E28" s="10" t="inlineStr">
        <is>
          <t>구현</t>
        </is>
      </c>
      <c r="F28" s="9" t="inlineStr">
        <is>
          <t>있음</t>
        </is>
      </c>
      <c r="G28" s="9" t="inlineStr">
        <is>
          <t>PATCH /permissions/staff/:staffId/role</t>
        </is>
      </c>
    </row>
    <row r="29">
      <c r="A29" s="4" t="inlineStr">
        <is>
          <t>F02a</t>
        </is>
      </c>
      <c r="B29" s="4" t="inlineStr">
        <is>
          <t>인사정보관리</t>
        </is>
      </c>
      <c r="C29" s="4" t="inlineStr">
        <is>
          <t>원문 기능</t>
        </is>
      </c>
      <c r="D29" s="4" t="inlineStr">
        <is>
          <t>현장(지점)별 인사관리 탭, 코드 생성</t>
        </is>
      </c>
      <c r="E29" s="4" t="inlineStr">
        <is>
          <t>-</t>
        </is>
      </c>
      <c r="F29" s="4" t="inlineStr">
        <is>
          <t>-</t>
        </is>
      </c>
      <c r="G29" s="4" t="inlineStr"/>
    </row>
    <row r="30">
      <c r="A30" s="4" t="inlineStr">
        <is>
          <t>F02b</t>
        </is>
      </c>
      <c r="B30" s="4" t="inlineStr">
        <is>
          <t>인사정보관리</t>
        </is>
      </c>
      <c r="C30" s="4" t="inlineStr">
        <is>
          <t>원문 기능</t>
        </is>
      </c>
      <c r="D30" s="4" t="inlineStr">
        <is>
          <t>모든 인사기록 정보를 한 화면에서 조회</t>
        </is>
      </c>
      <c r="E30" s="4" t="inlineStr">
        <is>
          <t>-</t>
        </is>
      </c>
      <c r="F30" s="4" t="inlineStr">
        <is>
          <t>-</t>
        </is>
      </c>
      <c r="G30" s="4" t="inlineStr"/>
    </row>
    <row r="31">
      <c r="A31" s="4" t="inlineStr">
        <is>
          <t>F02c</t>
        </is>
      </c>
      <c r="B31" s="4" t="inlineStr">
        <is>
          <t>인사정보관리</t>
        </is>
      </c>
      <c r="C31" s="4" t="inlineStr">
        <is>
          <t>원문 기능</t>
        </is>
      </c>
      <c r="D31" s="4" t="inlineStr">
        <is>
          <t>권한 부여 혹은 승인 시 수정 가능</t>
        </is>
      </c>
      <c r="E31" s="4" t="inlineStr">
        <is>
          <t>-</t>
        </is>
      </c>
      <c r="F31" s="4" t="inlineStr">
        <is>
          <t>-</t>
        </is>
      </c>
      <c r="G31" s="4" t="inlineStr"/>
    </row>
    <row r="32">
      <c r="A32" s="4" t="inlineStr">
        <is>
          <t>STF-C04</t>
        </is>
      </c>
      <c r="B32" s="4" t="inlineStr">
        <is>
          <t>인사정보관리</t>
        </is>
      </c>
      <c r="C32" s="4" t="inlineStr">
        <is>
          <t>원문 제약</t>
        </is>
      </c>
      <c r="D32" s="4" t="inlineStr">
        <is>
          <t>C01(과업 기간)이 간접 제약: "승인 기반 수정"의 다단계 결재라인은 1인 개발 범위를 넘어 본인 신청→1단계 승인으로 단순화(아래 §8 참고).</t>
        </is>
      </c>
      <c r="E32" s="4" t="inlineStr">
        <is>
          <t>-</t>
        </is>
      </c>
      <c r="F32" s="4" t="inlineStr">
        <is>
          <t>-</t>
        </is>
      </c>
      <c r="G32" s="4" t="inlineStr"/>
    </row>
    <row r="33">
      <c r="A33" s="4" t="inlineStr">
        <is>
          <t>STF-INV-01</t>
        </is>
      </c>
      <c r="B33" s="4" t="inlineStr">
        <is>
          <t>인사정보관리</t>
        </is>
      </c>
      <c r="C33" s="4" t="inlineStr">
        <is>
          <t>불변규칙</t>
        </is>
      </c>
      <c r="D33" s="4" t="inlineStr">
        <is>
          <t>채용·재배치는 본사(SUPER_ADMIN)만 한다. (CLAUDE.md 4대 불변식 — 인사 권한 분리. 권한관리 도메인의 불변규칙 2와 같은 원천, 이 도메인은 그 실제 구현 지점이다)</t>
        </is>
      </c>
      <c r="E33" s="10" t="inlineStr">
        <is>
          <t>구현</t>
        </is>
      </c>
      <c r="F33" s="4" t="inlineStr">
        <is>
          <t>-</t>
        </is>
      </c>
      <c r="G33" s="4" t="inlineStr">
        <is>
          <t>staff-assignment·staff-write·staff-change-requests·hr-authority·contract-termination·integrity-helpers·audit-log·phone-view-audit·branch-isolation spec</t>
        </is>
      </c>
    </row>
    <row r="34">
      <c r="A34" s="4" t="inlineStr">
        <is>
          <t>STF-INV-02</t>
        </is>
      </c>
      <c r="B34" s="4" t="inlineStr">
        <is>
          <t>인사정보관리</t>
        </is>
      </c>
      <c r="C34" s="4" t="inlineStr">
        <is>
          <t>불변규칙</t>
        </is>
      </c>
      <c r="D34" s="4" t="inlineStr">
        <is>
          <t>한 직원은 활성(endDate=null) StaffAssignment가 항상 최대 1건이어야 한다. (파견이 이 도메인의 핵심 모델인 이상, 한 사람이 동시에 두 지점에 파견될 수는 없다는 건 협의 대상이 아니다)</t>
        </is>
      </c>
      <c r="E34" s="10" t="inlineStr">
        <is>
          <t>구현</t>
        </is>
      </c>
      <c r="F34" s="4" t="inlineStr">
        <is>
          <t>-</t>
        </is>
      </c>
      <c r="G34" s="4" t="inlineStr">
        <is>
          <t>staff-assignment·staff-write·staff-change-requests·hr-authority·contract-termination·integrity-helpers·audit-log·phone-view-audit·branch-isolation spec</t>
        </is>
      </c>
    </row>
    <row r="35">
      <c r="A35" s="4" t="inlineStr">
        <is>
          <t>STF-INV-03</t>
        </is>
      </c>
      <c r="B35" s="4" t="inlineStr">
        <is>
          <t>인사정보관리</t>
        </is>
      </c>
      <c r="C35" s="4" t="inlineStr">
        <is>
          <t>불변규칙</t>
        </is>
      </c>
      <c r="D35" s="4" t="inlineStr">
        <is>
          <t>퇴사 처리는 계정 비활성화와 분리될 수 없다. (권한관리 도메인 불변규칙 1 "퇴사 즉시 접근 차단"의 트리거가 바로 이 도메인의 /resign이다 — 두 도메인이 공유하는 불변식의 서로 다른 쪽 절반)</t>
        </is>
      </c>
      <c r="E35" s="10" t="inlineStr">
        <is>
          <t>구현</t>
        </is>
      </c>
      <c r="F35" s="4" t="inlineStr">
        <is>
          <t>-</t>
        </is>
      </c>
      <c r="G35" s="4" t="inlineStr">
        <is>
          <t>staff-assignment·staff-write·staff-change-requests·hr-authority·contract-termination·integrity-helpers·audit-log·phone-view-audit·branch-isolation spec</t>
        </is>
      </c>
    </row>
    <row r="36">
      <c r="A36" s="4" t="inlineStr">
        <is>
          <t>STF-FN-01</t>
        </is>
      </c>
      <c r="B36" s="4" t="inlineStr">
        <is>
          <t>인사정보관리</t>
        </is>
      </c>
      <c r="C36" s="4" t="inlineStr">
        <is>
          <t>기능</t>
        </is>
      </c>
      <c r="D36" s="4" t="inlineStr">
        <is>
          <t>직원 목록(본사 전체, 지점 관리자는 자기 지점) — 전화번호 마스킹, ?unassigned=true는 재배치 대기(ADR-STF-08)</t>
        </is>
      </c>
      <c r="E36" s="10" t="inlineStr">
        <is>
          <t>구현</t>
        </is>
      </c>
      <c r="F36" s="4" t="inlineStr">
        <is>
          <t>있음</t>
        </is>
      </c>
      <c r="G36" s="4" t="inlineStr">
        <is>
          <t>GET /staff</t>
        </is>
      </c>
    </row>
    <row r="37">
      <c r="A37" s="4" t="inlineStr">
        <is>
          <t>STF-FN-02</t>
        </is>
      </c>
      <c r="B37" s="4" t="inlineStr">
        <is>
          <t>인사정보관리</t>
        </is>
      </c>
      <c r="C37" s="4" t="inlineStr">
        <is>
          <t>기능</t>
        </is>
      </c>
      <c r="D37" s="4" t="inlineStr">
        <is>
          <t>직원 채용 — 계정·직원·첫 파견을 함께 생성(본사만)</t>
        </is>
      </c>
      <c r="E37" s="10" t="inlineStr">
        <is>
          <t>구현</t>
        </is>
      </c>
      <c r="F37" s="4" t="inlineStr">
        <is>
          <t>있음</t>
        </is>
      </c>
      <c r="G37" s="4" t="inlineStr">
        <is>
          <t>POST /staff</t>
        </is>
      </c>
    </row>
    <row r="38">
      <c r="A38" s="4" t="inlineStr">
        <is>
          <t>STF-FN-03</t>
        </is>
      </c>
      <c r="B38" s="4" t="inlineStr">
        <is>
          <t>인사정보관리</t>
        </is>
      </c>
      <c r="C38" s="4" t="inlineStr">
        <is>
          <t>기능</t>
        </is>
      </c>
      <c r="D38" s="4" t="inlineStr">
        <is>
          <t>직원 상세 — 관리자가 열면 열람 기록(PHONE_VIEWED, D47)</t>
        </is>
      </c>
      <c r="E38" s="10" t="inlineStr">
        <is>
          <t>구현</t>
        </is>
      </c>
      <c r="F38" s="4" t="inlineStr">
        <is>
          <t>있음</t>
        </is>
      </c>
      <c r="G38" s="4" t="inlineStr">
        <is>
          <t>GET /staff/:id</t>
        </is>
      </c>
    </row>
    <row r="39">
      <c r="A39" s="4" t="inlineStr">
        <is>
          <t>STF-FN-04</t>
        </is>
      </c>
      <c r="B39" s="4" t="inlineStr">
        <is>
          <t>인사정보관리</t>
        </is>
      </c>
      <c r="C39" s="4" t="inlineStr">
        <is>
          <t>기능</t>
        </is>
      </c>
      <c r="D39" s="4" t="inlineStr">
        <is>
          <t>직원 정보 수정</t>
        </is>
      </c>
      <c r="E39" s="10" t="inlineStr">
        <is>
          <t>구현</t>
        </is>
      </c>
      <c r="F39" s="4" t="inlineStr">
        <is>
          <t>있음</t>
        </is>
      </c>
      <c r="G39" s="4" t="inlineStr">
        <is>
          <t>PATCH /staff/:id</t>
        </is>
      </c>
    </row>
    <row r="40">
      <c r="A40" s="4" t="inlineStr">
        <is>
          <t>STF-FN-05</t>
        </is>
      </c>
      <c r="B40" s="4" t="inlineStr">
        <is>
          <t>인사정보관리</t>
        </is>
      </c>
      <c r="C40" s="4" t="inlineStr">
        <is>
          <t>기능</t>
        </is>
      </c>
      <c r="D40" s="4" t="inlineStr">
        <is>
          <t>파견 이력</t>
        </is>
      </c>
      <c r="E40" s="10" t="inlineStr">
        <is>
          <t>구현</t>
        </is>
      </c>
      <c r="F40" s="4" t="inlineStr">
        <is>
          <t>있음</t>
        </is>
      </c>
      <c r="G40" s="4" t="inlineStr">
        <is>
          <t>GET /staff/:id/assignments</t>
        </is>
      </c>
    </row>
    <row r="41">
      <c r="A41" s="4" t="inlineStr">
        <is>
          <t>STF-FN-06</t>
        </is>
      </c>
      <c r="B41" s="4" t="inlineStr">
        <is>
          <t>인사정보관리</t>
        </is>
      </c>
      <c r="C41" s="4" t="inlineStr">
        <is>
          <t>기능</t>
        </is>
      </c>
      <c r="D41" s="4" t="inlineStr">
        <is>
          <t>파견 발령(재배치) — 옛 지점 담당 회원 해제, 계약 종료 지점으로는 409(본사만)</t>
        </is>
      </c>
      <c r="E41" s="10" t="inlineStr">
        <is>
          <t>구현</t>
        </is>
      </c>
      <c r="F41" s="4" t="inlineStr">
        <is>
          <t>있음</t>
        </is>
      </c>
      <c r="G41" s="4" t="inlineStr">
        <is>
          <t>POST /staff/:id/assignments</t>
        </is>
      </c>
    </row>
    <row r="42">
      <c r="A42" s="4" t="inlineStr">
        <is>
          <t>STF-FN-07</t>
        </is>
      </c>
      <c r="B42" s="4" t="inlineStr">
        <is>
          <t>인사정보관리</t>
        </is>
      </c>
      <c r="C42" s="4" t="inlineStr">
        <is>
          <t>기능</t>
        </is>
      </c>
      <c r="D42" s="4" t="inlineStr">
        <is>
          <t>퇴사 처리 — 계정 비활성화, 파견 종료, 담당 회원 해제, 인사서류 보존기한 재계산(지점 관리자. 계약 종료 지점 직원은 본사도 — ADR-STF-08)</t>
        </is>
      </c>
      <c r="E42" s="10" t="inlineStr">
        <is>
          <t>구현</t>
        </is>
      </c>
      <c r="F42" s="4" t="inlineStr">
        <is>
          <t>있음</t>
        </is>
      </c>
      <c r="G42" s="4" t="inlineStr">
        <is>
          <t>PATCH /staff/:id/resign</t>
        </is>
      </c>
    </row>
    <row r="43">
      <c r="A43" s="4" t="inlineStr">
        <is>
          <t>STF-FN-08</t>
        </is>
      </c>
      <c r="B43" s="4" t="inlineStr">
        <is>
          <t>인사정보관리</t>
        </is>
      </c>
      <c r="C43" s="4" t="inlineStr">
        <is>
          <t>기능</t>
        </is>
      </c>
      <c r="D43" s="4" t="inlineStr">
        <is>
          <t>내 직원 정보</t>
        </is>
      </c>
      <c r="E43" s="10" t="inlineStr">
        <is>
          <t>구현</t>
        </is>
      </c>
      <c r="F43" s="4" t="inlineStr">
        <is>
          <t>있음</t>
        </is>
      </c>
      <c r="G43" s="4" t="inlineStr">
        <is>
          <t>GET /staff/me</t>
        </is>
      </c>
    </row>
    <row r="44">
      <c r="A44" s="4" t="inlineStr">
        <is>
          <t>STF-FN-09</t>
        </is>
      </c>
      <c r="B44" s="4" t="inlineStr">
        <is>
          <t>인사정보관리</t>
        </is>
      </c>
      <c r="C44" s="4" t="inlineStr">
        <is>
          <t>기능</t>
        </is>
      </c>
      <c r="D44" s="4" t="inlineStr">
        <is>
          <t>인사 변경 신청 목록(지점 관리자는 자기 지점, 본사는 조회)</t>
        </is>
      </c>
      <c r="E44" s="10" t="inlineStr">
        <is>
          <t>구현</t>
        </is>
      </c>
      <c r="F44" s="4" t="inlineStr">
        <is>
          <t>있음</t>
        </is>
      </c>
      <c r="G44" s="4" t="inlineStr">
        <is>
          <t>GET /staff-change-requests</t>
        </is>
      </c>
    </row>
    <row r="45">
      <c r="A45" s="4" t="inlineStr">
        <is>
          <t>STF-FN-10</t>
        </is>
      </c>
      <c r="B45" s="4" t="inlineStr">
        <is>
          <t>인사정보관리</t>
        </is>
      </c>
      <c r="C45" s="4" t="inlineStr">
        <is>
          <t>기능</t>
        </is>
      </c>
      <c r="D45" s="4" t="inlineStr">
        <is>
          <t>인사 변경 신청(직원 본인 — 연락처 등, ADR-STF-09)</t>
        </is>
      </c>
      <c r="E45" s="10" t="inlineStr">
        <is>
          <t>구현</t>
        </is>
      </c>
      <c r="F45" s="4" t="inlineStr">
        <is>
          <t>있음</t>
        </is>
      </c>
      <c r="G45" s="4" t="inlineStr">
        <is>
          <t>POST /staff-change-requests</t>
        </is>
      </c>
    </row>
    <row r="46">
      <c r="A46" s="4" t="inlineStr">
        <is>
          <t>STF-FN-11</t>
        </is>
      </c>
      <c r="B46" s="4" t="inlineStr">
        <is>
          <t>인사정보관리</t>
        </is>
      </c>
      <c r="C46" s="4" t="inlineStr">
        <is>
          <t>기능</t>
        </is>
      </c>
      <c r="D46" s="4" t="inlineStr">
        <is>
          <t>인사 변경 신청 취소(대기 중일 때 본인)</t>
        </is>
      </c>
      <c r="E46" s="10" t="inlineStr">
        <is>
          <t>구현</t>
        </is>
      </c>
      <c r="F46" s="4" t="inlineStr">
        <is>
          <t>있음</t>
        </is>
      </c>
      <c r="G46" s="4" t="inlineStr">
        <is>
          <t>DELETE /staff-change-requests/:id</t>
        </is>
      </c>
    </row>
    <row r="47">
      <c r="A47" s="4" t="inlineStr">
        <is>
          <t>STF-FN-12</t>
        </is>
      </c>
      <c r="B47" s="4" t="inlineStr">
        <is>
          <t>인사정보관리</t>
        </is>
      </c>
      <c r="C47" s="4" t="inlineStr">
        <is>
          <t>기능</t>
        </is>
      </c>
      <c r="D47" s="4" t="inlineStr">
        <is>
          <t>인사 변경 승인 — 직원 정보에 반영, 변경 이력 기록(지점 관리자 1단계 승인)</t>
        </is>
      </c>
      <c r="E47" s="10" t="inlineStr">
        <is>
          <t>구현</t>
        </is>
      </c>
      <c r="F47" s="4" t="inlineStr">
        <is>
          <t>있음</t>
        </is>
      </c>
      <c r="G47" s="4" t="inlineStr">
        <is>
          <t>PATCH /staff-change-requests/:id/approve</t>
        </is>
      </c>
    </row>
    <row r="48">
      <c r="A48" s="4" t="inlineStr">
        <is>
          <t>STF-FN-13</t>
        </is>
      </c>
      <c r="B48" s="4" t="inlineStr">
        <is>
          <t>인사정보관리</t>
        </is>
      </c>
      <c r="C48" s="4" t="inlineStr">
        <is>
          <t>기능</t>
        </is>
      </c>
      <c r="D48" s="4" t="inlineStr">
        <is>
          <t>인사 변경 반려(사유)</t>
        </is>
      </c>
      <c r="E48" s="10" t="inlineStr">
        <is>
          <t>구현</t>
        </is>
      </c>
      <c r="F48" s="4" t="inlineStr">
        <is>
          <t>있음</t>
        </is>
      </c>
      <c r="G48" s="4" t="inlineStr">
        <is>
          <t>PATCH /staff-change-requests/:id/reject</t>
        </is>
      </c>
    </row>
    <row r="49">
      <c r="A49" s="4" t="inlineStr">
        <is>
          <t>STF-FN-14</t>
        </is>
      </c>
      <c r="B49" s="4" t="inlineStr">
        <is>
          <t>인사정보관리</t>
        </is>
      </c>
      <c r="C49" s="4" t="inlineStr">
        <is>
          <t>기능</t>
        </is>
      </c>
      <c r="D49" s="4" t="inlineStr">
        <is>
          <t>내 인사 변경 신청 목록</t>
        </is>
      </c>
      <c r="E49" s="10" t="inlineStr">
        <is>
          <t>구현</t>
        </is>
      </c>
      <c r="F49" s="4" t="inlineStr">
        <is>
          <t>있음</t>
        </is>
      </c>
      <c r="G49" s="4" t="inlineStr">
        <is>
          <t>GET /staff-change-requests/mine</t>
        </is>
      </c>
    </row>
    <row r="50">
      <c r="A50" s="9" t="inlineStr">
        <is>
          <t>F03a</t>
        </is>
      </c>
      <c r="B50" s="9" t="inlineStr">
        <is>
          <t>근태관리</t>
        </is>
      </c>
      <c r="C50" s="9" t="inlineStr">
        <is>
          <t>원문 기능</t>
        </is>
      </c>
      <c r="D50" s="9" t="inlineStr">
        <is>
          <t>현장별 &gt; 개인별 근태 등록 관리</t>
        </is>
      </c>
      <c r="E50" s="9" t="inlineStr">
        <is>
          <t>-</t>
        </is>
      </c>
      <c r="F50" s="9" t="inlineStr">
        <is>
          <t>-</t>
        </is>
      </c>
      <c r="G50" s="9" t="inlineStr"/>
    </row>
    <row r="51">
      <c r="A51" s="9" t="inlineStr">
        <is>
          <t>F03b</t>
        </is>
      </c>
      <c r="B51" s="9" t="inlineStr">
        <is>
          <t>근태관리</t>
        </is>
      </c>
      <c r="C51" s="9" t="inlineStr">
        <is>
          <t>원문 기능</t>
        </is>
      </c>
      <c r="D51" s="9" t="inlineStr">
        <is>
          <t>휴무·연차·병가 등 기록 및 일수 관리</t>
        </is>
      </c>
      <c r="E51" s="9" t="inlineStr">
        <is>
          <t>-</t>
        </is>
      </c>
      <c r="F51" s="9" t="inlineStr">
        <is>
          <t>-</t>
        </is>
      </c>
      <c r="G51" s="9" t="inlineStr"/>
    </row>
    <row r="52">
      <c r="A52" s="9" t="inlineStr">
        <is>
          <t>F03c</t>
        </is>
      </c>
      <c r="B52" s="9" t="inlineStr">
        <is>
          <t>근태관리</t>
        </is>
      </c>
      <c r="C52" s="9" t="inlineStr">
        <is>
          <t>원문 기능</t>
        </is>
      </c>
      <c r="D52" s="9" t="inlineStr">
        <is>
          <t>업무일지 작성 관리</t>
        </is>
      </c>
      <c r="E52" s="9" t="inlineStr">
        <is>
          <t>-</t>
        </is>
      </c>
      <c r="F52" s="9" t="inlineStr">
        <is>
          <t>-</t>
        </is>
      </c>
      <c r="G52" s="9" t="inlineStr"/>
    </row>
    <row r="53">
      <c r="A53" s="9" t="inlineStr">
        <is>
          <t>ATT-C04</t>
        </is>
      </c>
      <c r="B53" s="9" t="inlineStr">
        <is>
          <t>근태관리</t>
        </is>
      </c>
      <c r="C53" s="9" t="inlineStr">
        <is>
          <t>원문 제약</t>
        </is>
      </c>
      <c r="D53" s="9" t="inlineStr">
        <is>
          <t>C01(과업 기간)이 간접 제약: 다단계 연차 결재라인·정밀 법정 산정(회계연도 이월/소멸 등)은 1인 개발 범위를 넘어 단순화했다(§0).</t>
        </is>
      </c>
      <c r="E53" s="9" t="inlineStr">
        <is>
          <t>-</t>
        </is>
      </c>
      <c r="F53" s="9" t="inlineStr">
        <is>
          <t>-</t>
        </is>
      </c>
      <c r="G53" s="9" t="inlineStr"/>
    </row>
    <row r="54">
      <c r="A54" s="9" t="inlineStr">
        <is>
          <t>ATT-INV-01</t>
        </is>
      </c>
      <c r="B54" s="9" t="inlineStr">
        <is>
          <t>근태관리</t>
        </is>
      </c>
      <c r="C54" s="9" t="inlineStr">
        <is>
          <t>불변규칙</t>
        </is>
      </c>
      <c r="D54" s="9" t="inlineStr">
        <is>
          <t>같은 직원이 같은 날짜에 두 번 체크인할 수 없다. (ALREADY_CHECKED_IN — 하루 1레코드라는 데이터 모델 자체가 이걸 전제한다)</t>
        </is>
      </c>
      <c r="E54" s="10" t="inlineStr">
        <is>
          <t>구현</t>
        </is>
      </c>
      <c r="F54" s="9" t="inlineStr">
        <is>
          <t>-</t>
        </is>
      </c>
      <c r="G54" s="9" t="inlineStr">
        <is>
          <t>attendance-rules(동시 체크인·동시 승인·업무일지 1건·지각·KST 연차 연도)·attendance-correction·attendance-absence·attendance-branch-snapshot·kst-date·branch-isolation spec</t>
        </is>
      </c>
    </row>
    <row r="55">
      <c r="A55" s="9" t="inlineStr">
        <is>
          <t>ATT-INV-02</t>
        </is>
      </c>
      <c r="B55" s="9" t="inlineStr">
        <is>
          <t>근태관리</t>
        </is>
      </c>
      <c r="C55" s="9" t="inlineStr">
        <is>
          <t>불변규칙</t>
        </is>
      </c>
      <c r="D55" s="9" t="inlineStr">
        <is>
          <t>연차(ANNUAL) 승인 없이는 LeaveBalance.usedDays가 줄어들지 않는다. (신청만으로 차감되면 반려 시 복구 로직이 필요해지고, 그 복구가 실패하는 경로가 곧 데이터 정합성 버그로 이어진다 — 협의 대상이 아니라 설계 원칙)</t>
        </is>
      </c>
      <c r="E55" s="10" t="inlineStr">
        <is>
          <t>구현</t>
        </is>
      </c>
      <c r="F55" s="9" t="inlineStr">
        <is>
          <t>-</t>
        </is>
      </c>
      <c r="G55" s="9" t="inlineStr">
        <is>
          <t>attendance-rules(동시 체크인·동시 승인·업무일지 1건·지각·KST 연차 연도)·attendance-correction·attendance-absence·attendance-branch-snapshot·kst-date·branch-isolation spec</t>
        </is>
      </c>
    </row>
    <row r="56">
      <c r="A56" s="9" t="inlineStr">
        <is>
          <t>ATT-INV-03</t>
        </is>
      </c>
      <c r="B56" s="9" t="inlineStr">
        <is>
          <t>근태관리</t>
        </is>
      </c>
      <c r="C56" s="9" t="inlineStr">
        <is>
          <t>불변규칙</t>
        </is>
      </c>
      <c r="D56" s="9" t="inlineStr">
        <is>
          <t>BRANCH_ADMIN·STAFF는 자기 소속 범위를 벗어난 근태·휴가·업무일지에 접근할 수 없다. (CLAUDE.md 4대 불변식 — 지점 데이터 격리)</t>
        </is>
      </c>
      <c r="E56" s="10" t="inlineStr">
        <is>
          <t>구현</t>
        </is>
      </c>
      <c r="F56" s="9" t="inlineStr">
        <is>
          <t>-</t>
        </is>
      </c>
      <c r="G56" s="9" t="inlineStr">
        <is>
          <t>attendance-rules(동시 체크인·동시 승인·업무일지 1건·지각·KST 연차 연도)·attendance-correction·attendance-absence·attendance-branch-snapshot·kst-date·branch-isolation spec</t>
        </is>
      </c>
    </row>
    <row r="57">
      <c r="A57" s="9" t="inlineStr">
        <is>
          <t>ATT-FN-01</t>
        </is>
      </c>
      <c r="B57" s="9" t="inlineStr">
        <is>
          <t>근태관리</t>
        </is>
      </c>
      <c r="C57" s="9" t="inlineStr">
        <is>
          <t>기능</t>
        </is>
      </c>
      <c r="D57" s="9" t="inlineStr">
        <is>
          <t>근태 기록 조회(범위별)</t>
        </is>
      </c>
      <c r="E57" s="10" t="inlineStr">
        <is>
          <t>구현</t>
        </is>
      </c>
      <c r="F57" s="9" t="inlineStr">
        <is>
          <t>있음</t>
        </is>
      </c>
      <c r="G57" s="9" t="inlineStr">
        <is>
          <t>GET /attendance</t>
        </is>
      </c>
    </row>
    <row r="58">
      <c r="A58" s="9" t="inlineStr">
        <is>
          <t>ATT-FN-02</t>
        </is>
      </c>
      <c r="B58" s="9" t="inlineStr">
        <is>
          <t>근태관리</t>
        </is>
      </c>
      <c r="C58" s="9" t="inlineStr">
        <is>
          <t>기능</t>
        </is>
      </c>
      <c r="D58" s="9" t="inlineStr">
        <is>
          <t>관리자 근태 정정·누락일 등록 — 사유 필수, 변경 이력 기록(ADR-ATT-04)</t>
        </is>
      </c>
      <c r="E58" s="10" t="inlineStr">
        <is>
          <t>구현</t>
        </is>
      </c>
      <c r="F58" s="9" t="inlineStr">
        <is>
          <t>있음</t>
        </is>
      </c>
      <c r="G58" s="9" t="inlineStr">
        <is>
          <t>PUT /attendance/:staffId/:date</t>
        </is>
      </c>
    </row>
    <row r="59">
      <c r="A59" s="9" t="inlineStr">
        <is>
          <t>ATT-FN-03</t>
        </is>
      </c>
      <c r="B59" s="9" t="inlineStr">
        <is>
          <t>근태관리</t>
        </is>
      </c>
      <c r="C59" s="9" t="inlineStr">
        <is>
          <t>기능</t>
        </is>
      </c>
      <c r="D59" s="9" t="inlineStr">
        <is>
          <t>결근 확정(지점 관리자의 명시적 확정)</t>
        </is>
      </c>
      <c r="E59" s="10" t="inlineStr">
        <is>
          <t>구현</t>
        </is>
      </c>
      <c r="F59" s="9" t="inlineStr">
        <is>
          <t>있음</t>
        </is>
      </c>
      <c r="G59" s="9" t="inlineStr">
        <is>
          <t>POST /attendance/absence-confirm</t>
        </is>
      </c>
    </row>
    <row r="60">
      <c r="A60" s="9" t="inlineStr">
        <is>
          <t>ATT-FN-04</t>
        </is>
      </c>
      <c r="B60" s="9" t="inlineStr">
        <is>
          <t>근태관리</t>
        </is>
      </c>
      <c r="C60" s="9" t="inlineStr">
        <is>
          <t>기능</t>
        </is>
      </c>
      <c r="D60" s="9" t="inlineStr">
        <is>
          <t>결근 예정 미리보기(저장 안 함)</t>
        </is>
      </c>
      <c r="E60" s="10" t="inlineStr">
        <is>
          <t>구현</t>
        </is>
      </c>
      <c r="F60" s="9" t="inlineStr">
        <is>
          <t>있음</t>
        </is>
      </c>
      <c r="G60" s="9" t="inlineStr">
        <is>
          <t>GET /attendance/absence-preview</t>
        </is>
      </c>
    </row>
    <row r="61">
      <c r="A61" s="9" t="inlineStr">
        <is>
          <t>ATT-FN-05</t>
        </is>
      </c>
      <c r="B61" s="9" t="inlineStr">
        <is>
          <t>근태관리</t>
        </is>
      </c>
      <c r="C61" s="9" t="inlineStr">
        <is>
          <t>기능</t>
        </is>
      </c>
      <c r="D61" s="9" t="inlineStr">
        <is>
          <t>출근 체크 — 하루 1회, 지각 자동 판정</t>
        </is>
      </c>
      <c r="E61" s="10" t="inlineStr">
        <is>
          <t>구현</t>
        </is>
      </c>
      <c r="F61" s="9" t="inlineStr">
        <is>
          <t>있음</t>
        </is>
      </c>
      <c r="G61" s="9" t="inlineStr">
        <is>
          <t>POST /attendance/check-in</t>
        </is>
      </c>
    </row>
    <row r="62">
      <c r="A62" s="9" t="inlineStr">
        <is>
          <t>ATT-FN-06</t>
        </is>
      </c>
      <c r="B62" s="9" t="inlineStr">
        <is>
          <t>근태관리</t>
        </is>
      </c>
      <c r="C62" s="9" t="inlineStr">
        <is>
          <t>기능</t>
        </is>
      </c>
      <c r="D62" s="9" t="inlineStr">
        <is>
          <t>퇴근 체크</t>
        </is>
      </c>
      <c r="E62" s="10" t="inlineStr">
        <is>
          <t>구현</t>
        </is>
      </c>
      <c r="F62" s="9" t="inlineStr">
        <is>
          <t>있음</t>
        </is>
      </c>
      <c r="G62" s="9" t="inlineStr">
        <is>
          <t>POST /attendance/check-out</t>
        </is>
      </c>
    </row>
    <row r="63">
      <c r="A63" s="9" t="inlineStr">
        <is>
          <t>ATT-FN-07</t>
        </is>
      </c>
      <c r="B63" s="9" t="inlineStr">
        <is>
          <t>근태관리</t>
        </is>
      </c>
      <c r="C63" s="9" t="inlineStr">
        <is>
          <t>기능</t>
        </is>
      </c>
      <c r="D63" s="9" t="inlineStr">
        <is>
          <t>지점 월별 근태 요약</t>
        </is>
      </c>
      <c r="E63" s="10" t="inlineStr">
        <is>
          <t>구현</t>
        </is>
      </c>
      <c r="F63" s="9" t="inlineStr">
        <is>
          <t>있음</t>
        </is>
      </c>
      <c r="G63" s="9" t="inlineStr">
        <is>
          <t>GET /attendance/summary</t>
        </is>
      </c>
    </row>
    <row r="64">
      <c r="A64" s="9" t="inlineStr">
        <is>
          <t>ATT-FN-08</t>
        </is>
      </c>
      <c r="B64" s="9" t="inlineStr">
        <is>
          <t>근태관리</t>
        </is>
      </c>
      <c r="C64" s="9" t="inlineStr">
        <is>
          <t>기능</t>
        </is>
      </c>
      <c r="D64" s="9" t="inlineStr">
        <is>
          <t>휴가 신청 목록</t>
        </is>
      </c>
      <c r="E64" s="10" t="inlineStr">
        <is>
          <t>구현</t>
        </is>
      </c>
      <c r="F64" s="9" t="inlineStr">
        <is>
          <t>있음</t>
        </is>
      </c>
      <c r="G64" s="9" t="inlineStr">
        <is>
          <t>GET /leave-requests</t>
        </is>
      </c>
    </row>
    <row r="65">
      <c r="A65" s="9" t="inlineStr">
        <is>
          <t>ATT-FN-09</t>
        </is>
      </c>
      <c r="B65" s="9" t="inlineStr">
        <is>
          <t>근태관리</t>
        </is>
      </c>
      <c r="C65" s="9" t="inlineStr">
        <is>
          <t>기능</t>
        </is>
      </c>
      <c r="D65" s="9" t="inlineStr">
        <is>
          <t>휴가 신청</t>
        </is>
      </c>
      <c r="E65" s="10" t="inlineStr">
        <is>
          <t>구현</t>
        </is>
      </c>
      <c r="F65" s="9" t="inlineStr">
        <is>
          <t>있음</t>
        </is>
      </c>
      <c r="G65" s="9" t="inlineStr">
        <is>
          <t>POST /leave-requests</t>
        </is>
      </c>
    </row>
    <row r="66">
      <c r="A66" s="9" t="inlineStr">
        <is>
          <t>ATT-FN-10</t>
        </is>
      </c>
      <c r="B66" s="9" t="inlineStr">
        <is>
          <t>근태관리</t>
        </is>
      </c>
      <c r="C66" s="9" t="inlineStr">
        <is>
          <t>기능</t>
        </is>
      </c>
      <c r="D66" s="9" t="inlineStr">
        <is>
          <t>휴가 승인 — 승인 시점에 연차 차감</t>
        </is>
      </c>
      <c r="E66" s="10" t="inlineStr">
        <is>
          <t>구현</t>
        </is>
      </c>
      <c r="F66" s="9" t="inlineStr">
        <is>
          <t>있음</t>
        </is>
      </c>
      <c r="G66" s="9" t="inlineStr">
        <is>
          <t>PATCH /leave-requests/:id/approve</t>
        </is>
      </c>
    </row>
    <row r="67">
      <c r="A67" s="9" t="inlineStr">
        <is>
          <t>ATT-FN-11</t>
        </is>
      </c>
      <c r="B67" s="9" t="inlineStr">
        <is>
          <t>근태관리</t>
        </is>
      </c>
      <c r="C67" s="9" t="inlineStr">
        <is>
          <t>기능</t>
        </is>
      </c>
      <c r="D67" s="9" t="inlineStr">
        <is>
          <t>휴가 반려</t>
        </is>
      </c>
      <c r="E67" s="10" t="inlineStr">
        <is>
          <t>구현</t>
        </is>
      </c>
      <c r="F67" s="9" t="inlineStr">
        <is>
          <t>있음</t>
        </is>
      </c>
      <c r="G67" s="9" t="inlineStr">
        <is>
          <t>PATCH /leave-requests/:id/reject</t>
        </is>
      </c>
    </row>
    <row r="68">
      <c r="A68" s="9" t="inlineStr">
        <is>
          <t>ATT-FN-12</t>
        </is>
      </c>
      <c r="B68" s="9" t="inlineStr">
        <is>
          <t>근태관리</t>
        </is>
      </c>
      <c r="C68" s="9" t="inlineStr">
        <is>
          <t>기능</t>
        </is>
      </c>
      <c r="D68" s="9" t="inlineStr">
        <is>
          <t>연차 잔여 조회</t>
        </is>
      </c>
      <c r="E68" s="10" t="inlineStr">
        <is>
          <t>구현</t>
        </is>
      </c>
      <c r="F68" s="9" t="inlineStr">
        <is>
          <t>있음</t>
        </is>
      </c>
      <c r="G68" s="9" t="inlineStr">
        <is>
          <t>GET /leave-balance/:staffId</t>
        </is>
      </c>
    </row>
    <row r="69">
      <c r="A69" s="9" t="inlineStr">
        <is>
          <t>ATT-FN-13</t>
        </is>
      </c>
      <c r="B69" s="9" t="inlineStr">
        <is>
          <t>근태관리</t>
        </is>
      </c>
      <c r="C69" s="9" t="inlineStr">
        <is>
          <t>기능</t>
        </is>
      </c>
      <c r="D69" s="9" t="inlineStr">
        <is>
          <t>업무일지 조회</t>
        </is>
      </c>
      <c r="E69" s="10" t="inlineStr">
        <is>
          <t>구현</t>
        </is>
      </c>
      <c r="F69" s="9" t="inlineStr">
        <is>
          <t>있음</t>
        </is>
      </c>
      <c r="G69" s="9" t="inlineStr">
        <is>
          <t>GET /work-logs</t>
        </is>
      </c>
    </row>
    <row r="70">
      <c r="A70" s="9" t="inlineStr">
        <is>
          <t>ATT-FN-14</t>
        </is>
      </c>
      <c r="B70" s="9" t="inlineStr">
        <is>
          <t>근태관리</t>
        </is>
      </c>
      <c r="C70" s="9" t="inlineStr">
        <is>
          <t>기능</t>
        </is>
      </c>
      <c r="D70" s="9" t="inlineStr">
        <is>
          <t>업무일지 작성(하루 1건)</t>
        </is>
      </c>
      <c r="E70" s="10" t="inlineStr">
        <is>
          <t>구현</t>
        </is>
      </c>
      <c r="F70" s="9" t="inlineStr">
        <is>
          <t>있음</t>
        </is>
      </c>
      <c r="G70" s="9" t="inlineStr">
        <is>
          <t>POST /work-logs</t>
        </is>
      </c>
    </row>
    <row r="71">
      <c r="A71" s="4" t="inlineStr">
        <is>
          <t>F04a</t>
        </is>
      </c>
      <c r="B71" s="4" t="inlineStr">
        <is>
          <t>게시판</t>
        </is>
      </c>
      <c r="C71" s="4" t="inlineStr">
        <is>
          <t>원문 기능</t>
        </is>
      </c>
      <c r="D71" s="4" t="inlineStr">
        <is>
          <t>본사→현장(HQ_TO_BRANCH), 현장→이용자(BRANCH_TO_MEMBER) 별도 게시판</t>
        </is>
      </c>
      <c r="E71" s="4" t="inlineStr">
        <is>
          <t>-</t>
        </is>
      </c>
      <c r="F71" s="4" t="inlineStr">
        <is>
          <t>-</t>
        </is>
      </c>
      <c r="G71" s="4" t="inlineStr"/>
    </row>
    <row r="72">
      <c r="A72" s="4" t="inlineStr">
        <is>
          <t>F04b</t>
        </is>
      </c>
      <c r="B72" s="4" t="inlineStr">
        <is>
          <t>게시판</t>
        </is>
      </c>
      <c r="C72" s="4" t="inlineStr">
        <is>
          <t>원문 기능</t>
        </is>
      </c>
      <c r="D72" s="4" t="inlineStr">
        <is>
          <t>본사→현장 게시판에 교육 매뉴얼/자료 탑재</t>
        </is>
      </c>
      <c r="E72" s="4" t="inlineStr">
        <is>
          <t>-</t>
        </is>
      </c>
      <c r="F72" s="4" t="inlineStr">
        <is>
          <t>-</t>
        </is>
      </c>
      <c r="G72" s="4" t="inlineStr"/>
    </row>
    <row r="73">
      <c r="A73" s="4" t="inlineStr">
        <is>
          <t>F04c</t>
        </is>
      </c>
      <c r="B73" s="4" t="inlineStr">
        <is>
          <t>게시판</t>
        </is>
      </c>
      <c r="C73" s="4" t="inlineStr">
        <is>
          <t>원문 기능</t>
        </is>
      </c>
      <c r="D73" s="4" t="inlineStr">
        <is>
          <t>팀장급 직원 대상 2회 이상 대면 교육 실적 기록(산출물4 근거)</t>
        </is>
      </c>
      <c r="E73" s="4" t="inlineStr">
        <is>
          <t>-</t>
        </is>
      </c>
      <c r="F73" s="4" t="inlineStr">
        <is>
          <t>-</t>
        </is>
      </c>
      <c r="G73" s="4" t="inlineStr"/>
    </row>
    <row r="74">
      <c r="A74" s="4" t="inlineStr">
        <is>
          <t>BRD-C04</t>
        </is>
      </c>
      <c r="B74" s="4" t="inlineStr">
        <is>
          <t>게시판</t>
        </is>
      </c>
      <c r="C74" s="4" t="inlineStr">
        <is>
          <t>원문 제약</t>
        </is>
      </c>
      <c r="D74" s="4" t="inlineStr">
        <is>
          <t>첨부파일 실제 업로드 인프라(용량 제한·확장자 검증·스토리지)는 이번 범위에서 제외 — 부록 A-8이 이미 명시, 문서관리(1-10)와 동일하게 URL 방식으로 대체 가능.</t>
        </is>
      </c>
      <c r="E74" s="4" t="inlineStr">
        <is>
          <t>-</t>
        </is>
      </c>
      <c r="F74" s="4" t="inlineStr">
        <is>
          <t>-</t>
        </is>
      </c>
      <c r="G74" s="4" t="inlineStr"/>
    </row>
    <row r="75">
      <c r="A75" s="4" t="inlineStr">
        <is>
          <t>BRD-INV-01</t>
        </is>
      </c>
      <c r="B75" s="4" t="inlineStr">
        <is>
          <t>게시판</t>
        </is>
      </c>
      <c r="C75" s="4" t="inlineStr">
        <is>
          <t>불변규칙</t>
        </is>
      </c>
      <c r="D75" s="4" t="inlineStr">
        <is>
          <t>BRANCH_TO_MEMBER 게시글은 작성 지점 회원에게만 노출된다. (CLAUDE.md 지점 데이터 격리 정신의 연장 — 타 지점 공지가 새어나가면 안 됨)</t>
        </is>
      </c>
      <c r="E75" s="10" t="inlineStr">
        <is>
          <t>구현</t>
        </is>
      </c>
      <c r="F75" s="4" t="inlineStr">
        <is>
          <t>-</t>
        </is>
      </c>
      <c r="G75" s="4" t="inlineStr">
        <is>
          <t>post-attachments·post-rules(동시 조회수·소프트 삭제·수정/삭제 권한·작성 범위)·posts-member-visibility·contract-termination·branch-isolation spec</t>
        </is>
      </c>
    </row>
    <row r="76">
      <c r="A76" s="4" t="inlineStr">
        <is>
          <t>BRD-INV-02</t>
        </is>
      </c>
      <c r="B76" s="4" t="inlineStr">
        <is>
          <t>게시판</t>
        </is>
      </c>
      <c r="C76" s="4" t="inlineStr">
        <is>
          <t>불변규칙</t>
        </is>
      </c>
      <c r="D76" s="4" t="inlineStr">
        <is>
          <t>회원(Role=MEMBER)은 직원 대상 내부 공지를 볼 수 없다. (부록 A-7이 이미 "HQ 공지는 기본적으로 직원 대상, 회원에게는 비공개가 기본값"이라고 명시 — 협의 대상이 아니라 이미 확정된 요구사항)</t>
        </is>
      </c>
      <c r="E76" s="10" t="inlineStr">
        <is>
          <t>구현</t>
        </is>
      </c>
      <c r="F76" s="4" t="inlineStr">
        <is>
          <t>-</t>
        </is>
      </c>
      <c r="G76" s="4" t="inlineStr">
        <is>
          <t>post-attachments·post-rules(동시 조회수·소프트 삭제·수정/삭제 권한·작성 범위)·posts-member-visibility·contract-termination·branch-isolation spec</t>
        </is>
      </c>
    </row>
    <row r="77">
      <c r="A77" s="4" t="inlineStr">
        <is>
          <t>BRD-FN-01</t>
        </is>
      </c>
      <c r="B77" s="4" t="inlineStr">
        <is>
          <t>게시판</t>
        </is>
      </c>
      <c r="C77" s="4" t="inlineStr">
        <is>
          <t>기능</t>
        </is>
      </c>
      <c r="D77" s="4" t="inlineStr">
        <is>
          <t>게시글 목록 — 범위별 권한, 회원 공개 필터, 페이지네이션</t>
        </is>
      </c>
      <c r="E77" s="10" t="inlineStr">
        <is>
          <t>구현</t>
        </is>
      </c>
      <c r="F77" s="4" t="inlineStr">
        <is>
          <t>있음</t>
        </is>
      </c>
      <c r="G77" s="4" t="inlineStr">
        <is>
          <t>GET /posts</t>
        </is>
      </c>
    </row>
    <row r="78">
      <c r="A78" s="4" t="inlineStr">
        <is>
          <t>BRD-FN-02</t>
        </is>
      </c>
      <c r="B78" s="4" t="inlineStr">
        <is>
          <t>게시판</t>
        </is>
      </c>
      <c r="C78" s="4" t="inlineStr">
        <is>
          <t>기능</t>
        </is>
      </c>
      <c r="D78" s="4" t="inlineStr">
        <is>
          <t>게시글 작성 — 계약 종료 지점 차단</t>
        </is>
      </c>
      <c r="E78" s="10" t="inlineStr">
        <is>
          <t>구현</t>
        </is>
      </c>
      <c r="F78" s="4" t="inlineStr">
        <is>
          <t>있음</t>
        </is>
      </c>
      <c r="G78" s="4" t="inlineStr">
        <is>
          <t>POST /posts</t>
        </is>
      </c>
    </row>
    <row r="79">
      <c r="A79" s="4" t="inlineStr">
        <is>
          <t>BRD-FN-03</t>
        </is>
      </c>
      <c r="B79" s="4" t="inlineStr">
        <is>
          <t>게시판</t>
        </is>
      </c>
      <c r="C79" s="4" t="inlineStr">
        <is>
          <t>기능</t>
        </is>
      </c>
      <c r="D79" s="4" t="inlineStr">
        <is>
          <t>게시글 삭제(소프트, 작성자 또는 본사)</t>
        </is>
      </c>
      <c r="E79" s="10" t="inlineStr">
        <is>
          <t>구현</t>
        </is>
      </c>
      <c r="F79" s="4" t="inlineStr">
        <is>
          <t>있음</t>
        </is>
      </c>
      <c r="G79" s="4" t="inlineStr">
        <is>
          <t>DELETE /posts/:id</t>
        </is>
      </c>
    </row>
    <row r="80">
      <c r="A80" s="4" t="inlineStr">
        <is>
          <t>BRD-FN-04</t>
        </is>
      </c>
      <c r="B80" s="4" t="inlineStr">
        <is>
          <t>게시판</t>
        </is>
      </c>
      <c r="C80" s="4" t="inlineStr">
        <is>
          <t>기능</t>
        </is>
      </c>
      <c r="D80" s="4" t="inlineStr">
        <is>
          <t>게시글 상세 — 조회수 증가</t>
        </is>
      </c>
      <c r="E80" s="10" t="inlineStr">
        <is>
          <t>구현</t>
        </is>
      </c>
      <c r="F80" s="4" t="inlineStr">
        <is>
          <t>있음</t>
        </is>
      </c>
      <c r="G80" s="4" t="inlineStr">
        <is>
          <t>GET /posts/:id</t>
        </is>
      </c>
    </row>
    <row r="81">
      <c r="A81" s="4" t="inlineStr">
        <is>
          <t>BRD-FN-05</t>
        </is>
      </c>
      <c r="B81" s="4" t="inlineStr">
        <is>
          <t>게시판</t>
        </is>
      </c>
      <c r="C81" s="4" t="inlineStr">
        <is>
          <t>기능</t>
        </is>
      </c>
      <c r="D81" s="4" t="inlineStr">
        <is>
          <t>게시글 수정(작성자)</t>
        </is>
      </c>
      <c r="E81" s="10" t="inlineStr">
        <is>
          <t>구현</t>
        </is>
      </c>
      <c r="F81" s="4" t="inlineStr">
        <is>
          <t>있음</t>
        </is>
      </c>
      <c r="G81" s="4" t="inlineStr">
        <is>
          <t>PATCH /posts/:id</t>
        </is>
      </c>
    </row>
    <row r="82">
      <c r="A82" s="4" t="inlineStr">
        <is>
          <t>BRD-FN-06</t>
        </is>
      </c>
      <c r="B82" s="4" t="inlineStr">
        <is>
          <t>게시판</t>
        </is>
      </c>
      <c r="C82" s="4" t="inlineStr">
        <is>
          <t>기능</t>
        </is>
      </c>
      <c r="D82" s="4" t="inlineStr">
        <is>
          <t>첨부 붙이기 — 저장소의 실제 크기·형식 재확인, 글당 5개</t>
        </is>
      </c>
      <c r="E82" s="10" t="inlineStr">
        <is>
          <t>구현</t>
        </is>
      </c>
      <c r="F82" s="4" t="inlineStr">
        <is>
          <t>있음</t>
        </is>
      </c>
      <c r="G82" s="4" t="inlineStr">
        <is>
          <t>POST /posts/:id/attachments</t>
        </is>
      </c>
    </row>
    <row r="83">
      <c r="A83" s="4" t="inlineStr">
        <is>
          <t>BRD-FN-07</t>
        </is>
      </c>
      <c r="B83" s="4" t="inlineStr">
        <is>
          <t>게시판</t>
        </is>
      </c>
      <c r="C83" s="4" t="inlineStr">
        <is>
          <t>기능</t>
        </is>
      </c>
      <c r="D83" s="4" t="inlineStr">
        <is>
          <t>첨부 삭제(작성자 또는 본사)</t>
        </is>
      </c>
      <c r="E83" s="10" t="inlineStr">
        <is>
          <t>구현</t>
        </is>
      </c>
      <c r="F83" s="4" t="inlineStr">
        <is>
          <t>있음</t>
        </is>
      </c>
      <c r="G83" s="4" t="inlineStr">
        <is>
          <t>DELETE /posts/:id/attachments/:attachmentId</t>
        </is>
      </c>
    </row>
    <row r="84">
      <c r="A84" s="4" t="inlineStr">
        <is>
          <t>BRD-FN-08</t>
        </is>
      </c>
      <c r="B84" s="4" t="inlineStr">
        <is>
          <t>게시판</t>
        </is>
      </c>
      <c r="C84" s="4" t="inlineStr">
        <is>
          <t>기능</t>
        </is>
      </c>
      <c r="D84" s="4" t="inlineStr">
        <is>
          <t>첨부 내려받기 URL(글을 볼 수 있는 사람, 60초)</t>
        </is>
      </c>
      <c r="E84" s="10" t="inlineStr">
        <is>
          <t>구현</t>
        </is>
      </c>
      <c r="F84" s="4" t="inlineStr">
        <is>
          <t>있음</t>
        </is>
      </c>
      <c r="G84" s="4" t="inlineStr">
        <is>
          <t>GET /posts/:id/attachments/:attachmentId/download</t>
        </is>
      </c>
    </row>
    <row r="85">
      <c r="A85" s="4" t="inlineStr">
        <is>
          <t>BRD-FN-09</t>
        </is>
      </c>
      <c r="B85" s="4" t="inlineStr">
        <is>
          <t>게시판</t>
        </is>
      </c>
      <c r="C85" s="4" t="inlineStr">
        <is>
          <t>기능</t>
        </is>
      </c>
      <c r="D85" s="4" t="inlineStr">
        <is>
          <t>첨부 업로드 URL 발급(작성자) — 형식·크기·개수 검사, 1회용 서명 URL(ADR-BRD-04·D57)</t>
        </is>
      </c>
      <c r="E85" s="10" t="inlineStr">
        <is>
          <t>구현</t>
        </is>
      </c>
      <c r="F85" s="4" t="inlineStr">
        <is>
          <t>있음</t>
        </is>
      </c>
      <c r="G85" s="4" t="inlineStr">
        <is>
          <t>POST /posts/:id/attachments/upload-url</t>
        </is>
      </c>
    </row>
    <row r="86">
      <c r="A86" s="9" t="inlineStr">
        <is>
          <t>F05a</t>
        </is>
      </c>
      <c r="B86" s="9" t="inlineStr">
        <is>
          <t>회원관리</t>
        </is>
      </c>
      <c r="C86" s="9" t="inlineStr">
        <is>
          <t>원문 기능</t>
        </is>
      </c>
      <c r="D86" s="9" t="inlineStr">
        <is>
          <t>각 현장별 회원 인적사항·프로그램 수강내역·예약및결제내역·PT잔여세션 기록</t>
        </is>
      </c>
      <c r="E86" s="9" t="inlineStr">
        <is>
          <t>-</t>
        </is>
      </c>
      <c r="F86" s="9" t="inlineStr">
        <is>
          <t>-</t>
        </is>
      </c>
      <c r="G86" s="9" t="inlineStr"/>
    </row>
    <row r="87">
      <c r="A87" s="9" t="inlineStr">
        <is>
          <t>F05b</t>
        </is>
      </c>
      <c r="B87" s="9" t="inlineStr">
        <is>
          <t>회원관리</t>
        </is>
      </c>
      <c r="C87" s="9" t="inlineStr">
        <is>
          <t>원문 기능</t>
        </is>
      </c>
      <c r="D87" s="9" t="inlineStr">
        <is>
          <t>현장관리자는 해당 현장 회원정보만 확인(타 현장 조회 불가)</t>
        </is>
      </c>
      <c r="E87" s="9" t="inlineStr">
        <is>
          <t>-</t>
        </is>
      </c>
      <c r="F87" s="9" t="inlineStr">
        <is>
          <t>-</t>
        </is>
      </c>
      <c r="G87" s="9" t="inlineStr"/>
    </row>
    <row r="88">
      <c r="A88" s="9" t="inlineStr">
        <is>
          <t>Q10</t>
        </is>
      </c>
      <c r="B88" s="9" t="inlineStr">
        <is>
          <t>회원관리</t>
        </is>
      </c>
      <c r="C88" s="9" t="inlineStr">
        <is>
          <t>원문 품질</t>
        </is>
      </c>
      <c r="D88" s="9" t="inlineStr">
        <is>
          <t>인사·회원 등 개인정보가 별도 절차 없이 노출되지 않음(전화번호 마스킹 등)</t>
        </is>
      </c>
      <c r="E88" s="9" t="inlineStr">
        <is>
          <t>-</t>
        </is>
      </c>
      <c r="F88" s="9" t="inlineStr">
        <is>
          <t>-</t>
        </is>
      </c>
      <c r="G88" s="9" t="inlineStr"/>
    </row>
    <row r="89">
      <c r="A89" s="9" t="inlineStr">
        <is>
          <t>Q11</t>
        </is>
      </c>
      <c r="B89" s="9" t="inlineStr">
        <is>
          <t>회원관리</t>
        </is>
      </c>
      <c r="C89" s="9" t="inlineStr">
        <is>
          <t>원문 품질</t>
        </is>
      </c>
      <c r="D89" s="9" t="inlineStr">
        <is>
          <t>접근 통제가 그룹별·개인별·기능별로 구체적이어야 함</t>
        </is>
      </c>
      <c r="E89" s="9" t="inlineStr">
        <is>
          <t>-</t>
        </is>
      </c>
      <c r="F89" s="9" t="inlineStr">
        <is>
          <t>-</t>
        </is>
      </c>
      <c r="G89" s="9" t="inlineStr"/>
    </row>
    <row r="90">
      <c r="A90" s="9" t="inlineStr">
        <is>
          <t>MEM-C05</t>
        </is>
      </c>
      <c r="B90" s="9" t="inlineStr">
        <is>
          <t>회원관리</t>
        </is>
      </c>
      <c r="C90" s="9" t="inlineStr">
        <is>
          <t>원문 제약</t>
        </is>
      </c>
      <c r="D90" s="9" t="inlineStr">
        <is>
          <t>C03(개인정보보호법 제26조)이 직접 제약: Member는 이 법이 다루는 개인정보 그 자체이고, 본사-지점 위탁관계 하에서 처리된다.</t>
        </is>
      </c>
      <c r="E90" s="9" t="inlineStr">
        <is>
          <t>-</t>
        </is>
      </c>
      <c r="F90" s="9" t="inlineStr">
        <is>
          <t>-</t>
        </is>
      </c>
      <c r="G90" s="9" t="inlineStr"/>
    </row>
    <row r="91">
      <c r="A91" s="9" t="inlineStr">
        <is>
          <t>MEM-INV-01</t>
        </is>
      </c>
      <c r="B91" s="9" t="inlineStr">
        <is>
          <t>회원관리</t>
        </is>
      </c>
      <c r="C91" s="9" t="inlineStr">
        <is>
          <t>불변규칙</t>
        </is>
      </c>
      <c r="D91" s="9" t="inlineStr">
        <is>
          <t>BRANCH_ADMIN·MEMBER는 자기 소속 범위를 벗어난 회원 데이터에 접근할 수 없다. (CLAUDE.md 4대 불변식 — 지점 데이터 격리. F05b 원문이 괄호로 강조한 그 요구사항)</t>
        </is>
      </c>
      <c r="E91" s="10" t="inlineStr">
        <is>
          <t>구현</t>
        </is>
      </c>
      <c r="F91" s="9" t="inlineStr">
        <is>
          <t>-</t>
        </is>
      </c>
      <c r="G91" s="9" t="inlineStr">
        <is>
          <t>member-register·member-link·branches-public·member-detail-summary·members-validation·phone-masking·phone-view-audit·contract-termination·branch-isolation spec</t>
        </is>
      </c>
    </row>
    <row r="92">
      <c r="A92" s="9" t="inlineStr">
        <is>
          <t>MEM-INV-02</t>
        </is>
      </c>
      <c r="B92" s="9" t="inlineStr">
        <is>
          <t>회원관리</t>
        </is>
      </c>
      <c r="C92" s="9" t="inlineStr">
        <is>
          <t>불변규칙</t>
        </is>
      </c>
      <c r="D92" s="9" t="inlineStr">
        <is>
          <t>위탁계약이 TERMINATED된 지점에는 신규 회원을 등록할 수 없다. (CLAUDE.md 4대 불변식 — 계약 종료 지점 차단)</t>
        </is>
      </c>
      <c r="E92" s="10" t="inlineStr">
        <is>
          <t>구현</t>
        </is>
      </c>
      <c r="F92" s="9" t="inlineStr">
        <is>
          <t>-</t>
        </is>
      </c>
      <c r="G92" s="9" t="inlineStr">
        <is>
          <t>member-register·member-link·branches-public·member-detail-summary·members-validation·phone-masking·phone-view-audit·contract-termination·branch-isolation spec</t>
        </is>
      </c>
    </row>
    <row r="93">
      <c r="A93" s="9" t="inlineStr">
        <is>
          <t>MEM-INV-03</t>
        </is>
      </c>
      <c r="B93" s="9" t="inlineStr">
        <is>
          <t>회원관리</t>
        </is>
      </c>
      <c r="C93" s="9" t="inlineStr">
        <is>
          <t>불변규칙</t>
        </is>
      </c>
      <c r="D93" s="9" t="inlineStr">
        <is>
          <t>만 19세 미만 회원은 법정대리인 동의 없이 등록될 수 없다. (민법상 미성년자 단독 계약 취소가능성 — RFP가 아니라 법이 정한 것이라 협의 대상이 아님)</t>
        </is>
      </c>
      <c r="E93" s="10" t="inlineStr">
        <is>
          <t>구현</t>
        </is>
      </c>
      <c r="F93" s="9" t="inlineStr">
        <is>
          <t>-</t>
        </is>
      </c>
      <c r="G93" s="9" t="inlineStr">
        <is>
          <t>member-register·member-link·branches-public·member-detail-summary·members-validation·phone-masking·phone-view-audit·contract-termination·branch-isolation spec</t>
        </is>
      </c>
    </row>
    <row r="94">
      <c r="A94" s="9" t="inlineStr">
        <is>
          <t>MEM-FN-01</t>
        </is>
      </c>
      <c r="B94" s="9" t="inlineStr">
        <is>
          <t>회원관리</t>
        </is>
      </c>
      <c r="C94" s="9" t="inlineStr">
        <is>
          <t>기능</t>
        </is>
      </c>
      <c r="D94" s="9" t="inlineStr">
        <is>
          <t>회원 목록(지점 범위) — 페이지네이션(D43), 전화번호 마스킹(ADR-MEM-04)</t>
        </is>
      </c>
      <c r="E94" s="10" t="inlineStr">
        <is>
          <t>구현</t>
        </is>
      </c>
      <c r="F94" s="9" t="inlineStr">
        <is>
          <t>있음</t>
        </is>
      </c>
      <c r="G94" s="9" t="inlineStr">
        <is>
          <t>GET /members</t>
        </is>
      </c>
    </row>
    <row r="95">
      <c r="A95" s="9" t="inlineStr">
        <is>
          <t>MEM-FN-02</t>
        </is>
      </c>
      <c r="B95" s="9" t="inlineStr">
        <is>
          <t>회원관리</t>
        </is>
      </c>
      <c r="C95" s="9" t="inlineStr">
        <is>
          <t>기능</t>
        </is>
      </c>
      <c r="D95" s="9" t="inlineStr">
        <is>
          <t>회원 등록 — 미성년 보호자 동의 확인, 계약 종료 지점 차단</t>
        </is>
      </c>
      <c r="E95" s="10" t="inlineStr">
        <is>
          <t>구현</t>
        </is>
      </c>
      <c r="F95" s="9" t="inlineStr">
        <is>
          <t>있음</t>
        </is>
      </c>
      <c r="G95" s="9" t="inlineStr">
        <is>
          <t>POST /members</t>
        </is>
      </c>
    </row>
    <row r="96">
      <c r="A96" s="9" t="inlineStr">
        <is>
          <t>MEM-FN-03</t>
        </is>
      </c>
      <c r="B96" s="9" t="inlineStr">
        <is>
          <t>회원관리</t>
        </is>
      </c>
      <c r="C96" s="9" t="inlineStr">
        <is>
          <t>기능</t>
        </is>
      </c>
      <c r="D96" s="9" t="inlineStr">
        <is>
          <t>회원 상세 + 요약(수강·PT·예약) — 관리자가 열면 열람 기록(PHONE_VIEWED, D47)</t>
        </is>
      </c>
      <c r="E96" s="10" t="inlineStr">
        <is>
          <t>구현</t>
        </is>
      </c>
      <c r="F96" s="9" t="inlineStr">
        <is>
          <t>있음</t>
        </is>
      </c>
      <c r="G96" s="9" t="inlineStr">
        <is>
          <t>GET /members/:id</t>
        </is>
      </c>
    </row>
    <row r="97">
      <c r="A97" s="9" t="inlineStr">
        <is>
          <t>MEM-FN-04</t>
        </is>
      </c>
      <c r="B97" s="9" t="inlineStr">
        <is>
          <t>회원관리</t>
        </is>
      </c>
      <c r="C97" s="9" t="inlineStr">
        <is>
          <t>기능</t>
        </is>
      </c>
      <c r="D97" s="9" t="inlineStr">
        <is>
          <t>회원 정보 수정</t>
        </is>
      </c>
      <c r="E97" s="10" t="inlineStr">
        <is>
          <t>구현</t>
        </is>
      </c>
      <c r="F97" s="9" t="inlineStr">
        <is>
          <t>있음</t>
        </is>
      </c>
      <c r="G97" s="9" t="inlineStr">
        <is>
          <t>PATCH /members/:id</t>
        </is>
      </c>
    </row>
    <row r="98">
      <c r="A98" s="9" t="inlineStr">
        <is>
          <t>MEM-FN-05</t>
        </is>
      </c>
      <c r="B98" s="9" t="inlineStr">
        <is>
          <t>회원관리</t>
        </is>
      </c>
      <c r="C98" s="9" t="inlineStr">
        <is>
          <t>기능</t>
        </is>
      </c>
      <c r="D98" s="9" t="inlineStr">
        <is>
          <t>수강 내역</t>
        </is>
      </c>
      <c r="E98" s="10" t="inlineStr">
        <is>
          <t>구현</t>
        </is>
      </c>
      <c r="F98" s="9" t="inlineStr">
        <is>
          <t>있음</t>
        </is>
      </c>
      <c r="G98" s="9" t="inlineStr">
        <is>
          <t>GET /members/:id/enrollments</t>
        </is>
      </c>
    </row>
    <row r="99">
      <c r="A99" s="9" t="inlineStr">
        <is>
          <t>MEM-FN-06</t>
        </is>
      </c>
      <c r="B99" s="9" t="inlineStr">
        <is>
          <t>회원관리</t>
        </is>
      </c>
      <c r="C99" s="9" t="inlineStr">
        <is>
          <t>기능</t>
        </is>
      </c>
      <c r="D99" s="9" t="inlineStr">
        <is>
          <t>수강 등록</t>
        </is>
      </c>
      <c r="E99" s="10" t="inlineStr">
        <is>
          <t>구현</t>
        </is>
      </c>
      <c r="F99" s="9" t="inlineStr">
        <is>
          <t>있음</t>
        </is>
      </c>
      <c r="G99" s="9" t="inlineStr">
        <is>
          <t>POST /members/:id/enrollments</t>
        </is>
      </c>
    </row>
    <row r="100">
      <c r="A100" s="9" t="inlineStr">
        <is>
          <t>MEM-FN-07</t>
        </is>
      </c>
      <c r="B100" s="9" t="inlineStr">
        <is>
          <t>회원관리</t>
        </is>
      </c>
      <c r="C100" s="9" t="inlineStr">
        <is>
          <t>기능</t>
        </is>
      </c>
      <c r="D100" s="9" t="inlineStr">
        <is>
          <t>PT 세션권 목록</t>
        </is>
      </c>
      <c r="E100" s="10" t="inlineStr">
        <is>
          <t>구현</t>
        </is>
      </c>
      <c r="F100" s="9" t="inlineStr">
        <is>
          <t>있음</t>
        </is>
      </c>
      <c r="G100" s="9" t="inlineStr">
        <is>
          <t>GET /members/:id/pt-sessions</t>
        </is>
      </c>
    </row>
    <row r="101">
      <c r="A101" s="9" t="inlineStr">
        <is>
          <t>MEM-FN-08</t>
        </is>
      </c>
      <c r="B101" s="9" t="inlineStr">
        <is>
          <t>회원관리</t>
        </is>
      </c>
      <c r="C101" s="9" t="inlineStr">
        <is>
          <t>기능</t>
        </is>
      </c>
      <c r="D101" s="9" t="inlineStr">
        <is>
          <t>PT 세션권 등록</t>
        </is>
      </c>
      <c r="E101" s="10" t="inlineStr">
        <is>
          <t>구현</t>
        </is>
      </c>
      <c r="F101" s="9" t="inlineStr">
        <is>
          <t>있음</t>
        </is>
      </c>
      <c r="G101" s="9" t="inlineStr">
        <is>
          <t>POST /members/:id/pt-sessions</t>
        </is>
      </c>
    </row>
    <row r="102">
      <c r="A102" s="9" t="inlineStr">
        <is>
          <t>MEM-FN-09</t>
        </is>
      </c>
      <c r="B102" s="9" t="inlineStr">
        <is>
          <t>회원관리</t>
        </is>
      </c>
      <c r="C102" s="9" t="inlineStr">
        <is>
          <t>기능</t>
        </is>
      </c>
      <c r="D102" s="9" t="inlineStr">
        <is>
          <t>PT 1회 차감</t>
        </is>
      </c>
      <c r="E102" s="10" t="inlineStr">
        <is>
          <t>구현</t>
        </is>
      </c>
      <c r="F102" s="9" t="inlineStr">
        <is>
          <t>있음</t>
        </is>
      </c>
      <c r="G102" s="9" t="inlineStr">
        <is>
          <t>POST /members/:id/pt-sessions/:sessionId/use</t>
        </is>
      </c>
    </row>
    <row r="103">
      <c r="A103" s="9" t="inlineStr">
        <is>
          <t>MEM-FN-10</t>
        </is>
      </c>
      <c r="B103" s="9" t="inlineStr">
        <is>
          <t>회원관리</t>
        </is>
      </c>
      <c r="C103" s="9" t="inlineStr">
        <is>
          <t>기능</t>
        </is>
      </c>
      <c r="D103" s="9" t="inlineStr">
        <is>
          <t>회원 상태 전환(활성·휴면·탈퇴)</t>
        </is>
      </c>
      <c r="E103" s="10" t="inlineStr">
        <is>
          <t>구현</t>
        </is>
      </c>
      <c r="F103" s="9" t="inlineStr">
        <is>
          <t>있음</t>
        </is>
      </c>
      <c r="G103" s="9" t="inlineStr">
        <is>
          <t>PATCH /members/:id/status</t>
        </is>
      </c>
    </row>
    <row r="104">
      <c r="A104" s="9" t="inlineStr">
        <is>
          <t>MEM-FN-11</t>
        </is>
      </c>
      <c r="B104" s="9" t="inlineStr">
        <is>
          <t>회원관리</t>
        </is>
      </c>
      <c r="C104" s="9" t="inlineStr">
        <is>
          <t>기능</t>
        </is>
      </c>
      <c r="D104" s="9" t="inlineStr">
        <is>
          <t>오프라인 회원 ↔ 온라인 계정 연동(공개, 회원번호+전화번호 동시 일치, 시도 제한) — 회원 웹 /link</t>
        </is>
      </c>
      <c r="E104" s="10" t="inlineStr">
        <is>
          <t>구현</t>
        </is>
      </c>
      <c r="F104" s="9" t="inlineStr">
        <is>
          <t>있음</t>
        </is>
      </c>
      <c r="G104" s="9" t="inlineStr">
        <is>
          <t>POST /members/link</t>
        </is>
      </c>
    </row>
    <row r="105">
      <c r="A105" s="9" t="inlineStr">
        <is>
          <t>MEM-FN-12</t>
        </is>
      </c>
      <c r="B105" s="9" t="inlineStr">
        <is>
          <t>회원관리</t>
        </is>
      </c>
      <c r="C105" s="9" t="inlineStr">
        <is>
          <t>기능</t>
        </is>
      </c>
      <c r="D105" s="9" t="inlineStr">
        <is>
          <t>회원 자체 가입(공개) — 회원 웹 /signup(지점 선택은 공개 지점 목록, ADR-MEM-05)</t>
        </is>
      </c>
      <c r="E105" s="10" t="inlineStr">
        <is>
          <t>구현</t>
        </is>
      </c>
      <c r="F105" s="9" t="inlineStr">
        <is>
          <t>있음</t>
        </is>
      </c>
      <c r="G105" s="9" t="inlineStr">
        <is>
          <t>POST /members/register</t>
        </is>
      </c>
    </row>
    <row r="106">
      <c r="A106" s="4" t="inlineStr">
        <is>
          <t>F06a</t>
        </is>
      </c>
      <c r="B106" s="4" t="inlineStr">
        <is>
          <t>예약및결제</t>
        </is>
      </c>
      <c r="C106" s="4" t="inlineStr">
        <is>
          <t>원문 기능</t>
        </is>
      </c>
      <c r="D106" s="4" t="inlineStr">
        <is>
          <t>무/유료 프로그램 정보 게시 후 프로그램별 예약</t>
        </is>
      </c>
      <c r="E106" s="4" t="inlineStr">
        <is>
          <t>-</t>
        </is>
      </c>
      <c r="F106" s="4" t="inlineStr">
        <is>
          <t>-</t>
        </is>
      </c>
      <c r="G106" s="4" t="inlineStr"/>
    </row>
    <row r="107">
      <c r="A107" s="4" t="inlineStr">
        <is>
          <t>F06b</t>
        </is>
      </c>
      <c r="B107" s="4" t="inlineStr">
        <is>
          <t>예약및결제</t>
        </is>
      </c>
      <c r="C107" s="4" t="inlineStr">
        <is>
          <t>원문 기능</t>
        </is>
      </c>
      <c r="D107" s="4" t="inlineStr">
        <is>
          <t>모바일 결제 기능</t>
        </is>
      </c>
      <c r="E107" s="4" t="inlineStr">
        <is>
          <t>-</t>
        </is>
      </c>
      <c r="F107" s="4" t="inlineStr">
        <is>
          <t>-</t>
        </is>
      </c>
      <c r="G107" s="4" t="inlineStr"/>
    </row>
    <row r="108">
      <c r="A108" s="4" t="inlineStr">
        <is>
          <t>F06c</t>
        </is>
      </c>
      <c r="B108" s="4" t="inlineStr">
        <is>
          <t>예약및결제</t>
        </is>
      </c>
      <c r="C108" s="4" t="inlineStr">
        <is>
          <t>원문 기능</t>
        </is>
      </c>
      <c r="D108" s="4" t="inlineStr">
        <is>
          <t>결제내역 처리방법(RFP 원문 "추후 논의")</t>
        </is>
      </c>
      <c r="E108" s="4" t="inlineStr">
        <is>
          <t>-</t>
        </is>
      </c>
      <c r="F108" s="4" t="inlineStr">
        <is>
          <t>-</t>
        </is>
      </c>
      <c r="G108" s="4" t="inlineStr"/>
    </row>
    <row r="109">
      <c r="A109" s="4" t="inlineStr">
        <is>
          <t>Q20</t>
        </is>
      </c>
      <c r="B109" s="4" t="inlineStr">
        <is>
          <t>예약및결제</t>
        </is>
      </c>
      <c r="C109" s="4" t="inlineStr">
        <is>
          <t>원문 품질</t>
        </is>
      </c>
      <c r="D109" s="4" t="inlineStr">
        <is>
          <t>결제시스템은 금융·보안기관 시스템에 연계 가능 여부 확인</t>
        </is>
      </c>
      <c r="E109" s="4" t="inlineStr">
        <is>
          <t>-</t>
        </is>
      </c>
      <c r="F109" s="4" t="inlineStr">
        <is>
          <t>-</t>
        </is>
      </c>
      <c r="G109" s="4" t="inlineStr"/>
    </row>
    <row r="110">
      <c r="A110" s="4" t="inlineStr">
        <is>
          <t>RSV-C05</t>
        </is>
      </c>
      <c r="B110" s="4" t="inlineStr">
        <is>
          <t>예약및결제</t>
        </is>
      </c>
      <c r="C110" s="4" t="inlineStr">
        <is>
          <t>원문 제약</t>
        </is>
      </c>
      <c r="D110" s="4" t="inlineStr">
        <is>
          <t>C01(과업 기간)·인프라 부재: 스케줄러가 없어 "5분 결제 미완료 자동취소", "노쇼 자동 처리"는 범위 제외(§8).</t>
        </is>
      </c>
      <c r="E110" s="4" t="inlineStr">
        <is>
          <t>-</t>
        </is>
      </c>
      <c r="F110" s="4" t="inlineStr">
        <is>
          <t>-</t>
        </is>
      </c>
      <c r="G110" s="4" t="inlineStr"/>
    </row>
    <row r="111">
      <c r="A111" s="4" t="inlineStr">
        <is>
          <t>RSV-INV-01</t>
        </is>
      </c>
      <c r="B111" s="4" t="inlineStr">
        <is>
          <t>예약및결제</t>
        </is>
      </c>
      <c r="C111" s="4" t="inlineStr">
        <is>
          <t>불변규칙</t>
        </is>
      </c>
      <c r="D111" s="4" t="inlineStr">
        <is>
          <t>동일 회차의 정원을 초과해 예약이 확정될 수 없다. (영상의 "동일 좌석 중복판매 금지"와 완전히 같은 성격 — 몇 건이 초과되는 것도 협의 대상이 아니다)</t>
        </is>
      </c>
      <c r="E111" s="10" t="inlineStr">
        <is>
          <t>구현</t>
        </is>
      </c>
      <c r="F111" s="4" t="inlineStr">
        <is>
          <t>-</t>
        </is>
      </c>
      <c r="G111" s="4" t="inlineStr">
        <is>
          <t>reservation-capacity(실DB 동시성·결제 이중 승인)·catalog-flow·contract-termination·branch-isolation spec</t>
        </is>
      </c>
    </row>
    <row r="112">
      <c r="A112" s="4" t="inlineStr">
        <is>
          <t>RSV-INV-02</t>
        </is>
      </c>
      <c r="B112" s="4" t="inlineStr">
        <is>
          <t>예약및결제</t>
        </is>
      </c>
      <c r="C112" s="4" t="inlineStr">
        <is>
          <t>불변규칙</t>
        </is>
      </c>
      <c r="D112" s="4" t="inlineStr">
        <is>
          <t>동일 회원이 같은 회차에 활성(REQUESTED/CONFIRMED) 예약을 중복으로 가질 수 없다.</t>
        </is>
      </c>
      <c r="E112" s="10" t="inlineStr">
        <is>
          <t>구현</t>
        </is>
      </c>
      <c r="F112" s="4" t="inlineStr">
        <is>
          <t>-</t>
        </is>
      </c>
      <c r="G112" s="4" t="inlineStr">
        <is>
          <t>reservation-capacity(실DB 동시성·결제 이중 승인)·catalog-flow·contract-termination·branch-isolation spec</t>
        </is>
      </c>
    </row>
    <row r="113">
      <c r="A113" s="4" t="inlineStr">
        <is>
          <t>RSV-INV-03</t>
        </is>
      </c>
      <c r="B113" s="4" t="inlineStr">
        <is>
          <t>예약및결제</t>
        </is>
      </c>
      <c r="C113" s="4" t="inlineStr">
        <is>
          <t>불변규칙</t>
        </is>
      </c>
      <c r="D113" s="4" t="inlineStr">
        <is>
          <t>위탁계약이 TERMINATED된 지점에는 신규 예약이 생성될 수 없다. (CLAUDE.md 4대 불변식 — 계약 종료 지점 차단)</t>
        </is>
      </c>
      <c r="E113" s="10" t="inlineStr">
        <is>
          <t>구현</t>
        </is>
      </c>
      <c r="F113" s="4" t="inlineStr">
        <is>
          <t>-</t>
        </is>
      </c>
      <c r="G113" s="4" t="inlineStr">
        <is>
          <t>reservation-capacity(실DB 동시성·결제 이중 승인)·catalog-flow·contract-termination·branch-isolation spec</t>
        </is>
      </c>
    </row>
    <row r="114">
      <c r="A114" s="4" t="inlineStr">
        <is>
          <t>RSV-INV-04</t>
        </is>
      </c>
      <c r="B114" s="4" t="inlineStr">
        <is>
          <t>예약및결제</t>
        </is>
      </c>
      <c r="C114" s="4" t="inlineStr">
        <is>
          <t>불변규칙</t>
        </is>
      </c>
      <c r="D114" s="4" t="inlineStr">
        <is>
          <t>결제 금액은 클라이언트가 아니라 서버가 Program 가격을 재조회해 결정한다. (기본적인 결제 보안 원칙 — 협의 대상 아님)</t>
        </is>
      </c>
      <c r="E114" s="10" t="inlineStr">
        <is>
          <t>구현</t>
        </is>
      </c>
      <c r="F114" s="4" t="inlineStr">
        <is>
          <t>-</t>
        </is>
      </c>
      <c r="G114" s="4" t="inlineStr">
        <is>
          <t>reservation-capacity(실DB 동시성·결제 이중 승인)·catalog-flow·contract-termination·branch-isolation spec</t>
        </is>
      </c>
    </row>
    <row r="115">
      <c r="A115" s="4" t="inlineStr">
        <is>
          <t>RSV-FN-01</t>
        </is>
      </c>
      <c r="B115" s="4" t="inlineStr">
        <is>
          <t>예약및결제</t>
        </is>
      </c>
      <c r="C115" s="4" t="inlineStr">
        <is>
          <t>기능</t>
        </is>
      </c>
      <c r="D115" s="4" t="inlineStr">
        <is>
          <t>예약 목록(범위별, 페이지네이션 D43)</t>
        </is>
      </c>
      <c r="E115" s="10" t="inlineStr">
        <is>
          <t>구현</t>
        </is>
      </c>
      <c r="F115" s="4" t="inlineStr">
        <is>
          <t>있음</t>
        </is>
      </c>
      <c r="G115" s="4" t="inlineStr">
        <is>
          <t>GET /reservations</t>
        </is>
      </c>
    </row>
    <row r="116">
      <c r="A116" s="4" t="inlineStr">
        <is>
          <t>RSV-FN-02</t>
        </is>
      </c>
      <c r="B116" s="4" t="inlineStr">
        <is>
          <t>예약및결제</t>
        </is>
      </c>
      <c r="C116" s="4" t="inlineStr">
        <is>
          <t>기능</t>
        </is>
      </c>
      <c r="D116" s="4" t="inlineStr">
        <is>
          <t>회차 예약 — 회차 잠금, 지점·계약·지난 회차(409)·중복·정원 확인</t>
        </is>
      </c>
      <c r="E116" s="10" t="inlineStr">
        <is>
          <t>구현</t>
        </is>
      </c>
      <c r="F116" s="4" t="inlineStr">
        <is>
          <t>있음</t>
        </is>
      </c>
      <c r="G116" s="4" t="inlineStr">
        <is>
          <t>POST /reservations</t>
        </is>
      </c>
    </row>
    <row r="117">
      <c r="A117" s="4" t="inlineStr">
        <is>
          <t>RSV-FN-03</t>
        </is>
      </c>
      <c r="B117" s="4" t="inlineStr">
        <is>
          <t>예약및결제</t>
        </is>
      </c>
      <c r="C117" s="4" t="inlineStr">
        <is>
          <t>기능</t>
        </is>
      </c>
      <c r="D117" s="4" t="inlineStr">
        <is>
          <t>예약 취소 — 마감 전이면 환불</t>
        </is>
      </c>
      <c r="E117" s="10" t="inlineStr">
        <is>
          <t>구현</t>
        </is>
      </c>
      <c r="F117" s="4" t="inlineStr">
        <is>
          <t>있음</t>
        </is>
      </c>
      <c r="G117" s="4" t="inlineStr">
        <is>
          <t>PATCH /reservations/:id/cancel</t>
        </is>
      </c>
    </row>
    <row r="118">
      <c r="A118" s="4" t="inlineStr">
        <is>
          <t>RSV-FN-04</t>
        </is>
      </c>
      <c r="B118" s="4" t="inlineStr">
        <is>
          <t>예약및결제</t>
        </is>
      </c>
      <c r="C118" s="4" t="inlineStr">
        <is>
          <t>기능</t>
        </is>
      </c>
      <c r="D118" s="4" t="inlineStr">
        <is>
          <t>현장 체크인(완료 처리)</t>
        </is>
      </c>
      <c r="E118" s="10" t="inlineStr">
        <is>
          <t>구현</t>
        </is>
      </c>
      <c r="F118" s="4" t="inlineStr">
        <is>
          <t>있음</t>
        </is>
      </c>
      <c r="G118" s="4" t="inlineStr">
        <is>
          <t>PATCH /reservations/:id/check-in</t>
        </is>
      </c>
    </row>
    <row r="119">
      <c r="A119" s="4" t="inlineStr">
        <is>
          <t>RSV-FN-05</t>
        </is>
      </c>
      <c r="B119" s="4" t="inlineStr">
        <is>
          <t>예약및결제</t>
        </is>
      </c>
      <c r="C119" s="4" t="inlineStr">
        <is>
          <t>기능</t>
        </is>
      </c>
      <c r="D119" s="4" t="inlineStr">
        <is>
          <t>결제 내역(매출, 기간 필터·페이지네이션)</t>
        </is>
      </c>
      <c r="E119" s="10" t="inlineStr">
        <is>
          <t>구현</t>
        </is>
      </c>
      <c r="F119" s="4" t="inlineStr">
        <is>
          <t>있음</t>
        </is>
      </c>
      <c r="G119" s="4" t="inlineStr">
        <is>
          <t>GET /payments</t>
        </is>
      </c>
    </row>
    <row r="120">
      <c r="A120" s="4" t="inlineStr">
        <is>
          <t>RSV-FN-06</t>
        </is>
      </c>
      <c r="B120" s="4" t="inlineStr">
        <is>
          <t>예약및결제</t>
        </is>
      </c>
      <c r="C120" s="4" t="inlineStr">
        <is>
          <t>기능</t>
        </is>
      </c>
      <c r="D120" s="4" t="inlineStr">
        <is>
          <t>모의 결제 승인 → 예약 확정(대기일 때 한 번만)</t>
        </is>
      </c>
      <c r="E120" s="10" t="inlineStr">
        <is>
          <t>구현</t>
        </is>
      </c>
      <c r="F120" s="4" t="inlineStr">
        <is>
          <t>있음</t>
        </is>
      </c>
      <c r="G120" s="4" t="inlineStr">
        <is>
          <t>POST /payments/:reservationId/mock-pay</t>
        </is>
      </c>
    </row>
    <row r="121">
      <c r="A121" s="9" t="inlineStr">
        <is>
          <t>F07a</t>
        </is>
      </c>
      <c r="B121" s="9" t="inlineStr">
        <is>
          <t>강사프로그램게시</t>
        </is>
      </c>
      <c r="C121" s="9" t="inlineStr">
        <is>
          <t>원문 기능</t>
        </is>
      </c>
      <c r="D121" s="9" t="inlineStr">
        <is>
          <t>각 현장의 종목별 강사·프로그램 정보 게시</t>
        </is>
      </c>
      <c r="E121" s="9" t="inlineStr">
        <is>
          <t>-</t>
        </is>
      </c>
      <c r="F121" s="9" t="inlineStr">
        <is>
          <t>-</t>
        </is>
      </c>
      <c r="G121" s="9" t="inlineStr"/>
    </row>
    <row r="122">
      <c r="A122" s="9" t="inlineStr">
        <is>
          <t>F07b</t>
        </is>
      </c>
      <c r="B122" s="9" t="inlineStr">
        <is>
          <t>강사프로그램게시</t>
        </is>
      </c>
      <c r="C122" s="9" t="inlineStr">
        <is>
          <t>원문 기능</t>
        </is>
      </c>
      <c r="D122" s="9" t="inlineStr">
        <is>
          <t>종목별/시간대별/연령대별 프로그램 리스트 게시</t>
        </is>
      </c>
      <c r="E122" s="9" t="inlineStr">
        <is>
          <t>-</t>
        </is>
      </c>
      <c r="F122" s="9" t="inlineStr">
        <is>
          <t>-</t>
        </is>
      </c>
      <c r="G122" s="9" t="inlineStr"/>
    </row>
    <row r="123">
      <c r="A123" s="9" t="inlineStr">
        <is>
          <t>PRG-C03</t>
        </is>
      </c>
      <c r="B123" s="9" t="inlineStr">
        <is>
          <t>강사프로그램게시</t>
        </is>
      </c>
      <c r="C123" s="9" t="inlineStr">
        <is>
          <t>원문 제약</t>
        </is>
      </c>
      <c r="D123" s="9" t="inlineStr">
        <is>
          <t>없음(1인 개발 부담이 크지 않다고 §0이 이미 판단).</t>
        </is>
      </c>
      <c r="E123" s="9" t="inlineStr">
        <is>
          <t>-</t>
        </is>
      </c>
      <c r="F123" s="9" t="inlineStr">
        <is>
          <t>-</t>
        </is>
      </c>
      <c r="G123" s="9" t="inlineStr"/>
    </row>
    <row r="124">
      <c r="A124" s="9" t="inlineStr">
        <is>
          <t>PRG-INV-01</t>
        </is>
      </c>
      <c r="B124" s="9" t="inlineStr">
        <is>
          <t>강사프로그램게시</t>
        </is>
      </c>
      <c r="C124" s="9" t="inlineStr">
        <is>
          <t>불변규칙</t>
        </is>
      </c>
      <c r="D124" s="9" t="inlineStr">
        <is>
          <t>BRANCH_ADMIN은 자기 지점 강사·프로그램만 CRUD한다. (CLAUDE.md 4대 불변식 — 지점 데이터 격리)</t>
        </is>
      </c>
      <c r="E124" s="10" t="inlineStr">
        <is>
          <t>구현</t>
        </is>
      </c>
      <c r="F124" s="9" t="inlineStr">
        <is>
          <t>-</t>
        </is>
      </c>
      <c r="G124" s="9" t="inlineStr">
        <is>
          <t>program-integrity·catalog-flow·list-filters·branch-isolation spec</t>
        </is>
      </c>
    </row>
    <row r="125">
      <c r="A125" s="9" t="inlineStr">
        <is>
          <t>PRG-INV-02</t>
        </is>
      </c>
      <c r="B125" s="9" t="inlineStr">
        <is>
          <t>강사프로그램게시</t>
        </is>
      </c>
      <c r="C125" s="9" t="inlineStr">
        <is>
          <t>불변규칙</t>
        </is>
      </c>
      <c r="D125" s="9" t="inlineStr">
        <is>
          <t>§3-2 표에 없는 프로그램 상태 전이는 성립하지 않는다. (예: ENDED에서 되돌아가는 전이는 없음 — 생애주기의 종결이라는 의미 자체가 깨짐)</t>
        </is>
      </c>
      <c r="E125" s="10" t="inlineStr">
        <is>
          <t>구현</t>
        </is>
      </c>
      <c r="F125" s="9" t="inlineStr">
        <is>
          <t>-</t>
        </is>
      </c>
      <c r="G125" s="9" t="inlineStr">
        <is>
          <t>program-integrity·catalog-flow·list-filters·branch-isolation spec</t>
        </is>
      </c>
    </row>
    <row r="126">
      <c r="A126" s="9" t="inlineStr">
        <is>
          <t>PRG-FN-01</t>
        </is>
      </c>
      <c r="B126" s="9" t="inlineStr">
        <is>
          <t>강사프로그램게시</t>
        </is>
      </c>
      <c r="C126" s="9" t="inlineStr">
        <is>
          <t>기능</t>
        </is>
      </c>
      <c r="D126" s="9" t="inlineStr">
        <is>
          <t>프로그램 목록</t>
        </is>
      </c>
      <c r="E126" s="10" t="inlineStr">
        <is>
          <t>구현</t>
        </is>
      </c>
      <c r="F126" s="9" t="inlineStr">
        <is>
          <t>있음</t>
        </is>
      </c>
      <c r="G126" s="9" t="inlineStr">
        <is>
          <t>GET /programs</t>
        </is>
      </c>
    </row>
    <row r="127">
      <c r="A127" s="9" t="inlineStr">
        <is>
          <t>PRG-FN-02</t>
        </is>
      </c>
      <c r="B127" s="9" t="inlineStr">
        <is>
          <t>강사프로그램게시</t>
        </is>
      </c>
      <c r="C127" s="9" t="inlineStr">
        <is>
          <t>기능</t>
        </is>
      </c>
      <c r="D127" s="9" t="inlineStr">
        <is>
          <t>프로그램 등록</t>
        </is>
      </c>
      <c r="E127" s="10" t="inlineStr">
        <is>
          <t>구현</t>
        </is>
      </c>
      <c r="F127" s="9" t="inlineStr">
        <is>
          <t>있음</t>
        </is>
      </c>
      <c r="G127" s="9" t="inlineStr">
        <is>
          <t>POST /programs</t>
        </is>
      </c>
    </row>
    <row r="128">
      <c r="A128" s="9" t="inlineStr">
        <is>
          <t>PRG-FN-03</t>
        </is>
      </c>
      <c r="B128" s="9" t="inlineStr">
        <is>
          <t>강사프로그램게시</t>
        </is>
      </c>
      <c r="C128" s="9" t="inlineStr">
        <is>
          <t>기능</t>
        </is>
      </c>
      <c r="D128" s="9" t="inlineStr">
        <is>
          <t>프로그램 종료(소프트)</t>
        </is>
      </c>
      <c r="E128" s="10" t="inlineStr">
        <is>
          <t>구현</t>
        </is>
      </c>
      <c r="F128" s="9" t="inlineStr">
        <is>
          <t>있음</t>
        </is>
      </c>
      <c r="G128" s="9" t="inlineStr">
        <is>
          <t>DELETE /programs/:id</t>
        </is>
      </c>
    </row>
    <row r="129">
      <c r="A129" s="9" t="inlineStr">
        <is>
          <t>PRG-FN-04</t>
        </is>
      </c>
      <c r="B129" s="9" t="inlineStr">
        <is>
          <t>강사프로그램게시</t>
        </is>
      </c>
      <c r="C129" s="9" t="inlineStr">
        <is>
          <t>기능</t>
        </is>
      </c>
      <c r="D129" s="9" t="inlineStr">
        <is>
          <t>프로그램 수정</t>
        </is>
      </c>
      <c r="E129" s="10" t="inlineStr">
        <is>
          <t>구현</t>
        </is>
      </c>
      <c r="F129" s="9" t="inlineStr">
        <is>
          <t>있음</t>
        </is>
      </c>
      <c r="G129" s="9" t="inlineStr">
        <is>
          <t>PATCH /programs/:id</t>
        </is>
      </c>
    </row>
    <row r="130">
      <c r="A130" s="9" t="inlineStr">
        <is>
          <t>PRG-FN-05</t>
        </is>
      </c>
      <c r="B130" s="9" t="inlineStr">
        <is>
          <t>강사프로그램게시</t>
        </is>
      </c>
      <c r="C130" s="9" t="inlineStr">
        <is>
          <t>기능</t>
        </is>
      </c>
      <c r="D130" s="9" t="inlineStr">
        <is>
          <t>회차 목록·잔여 좌석</t>
        </is>
      </c>
      <c r="E130" s="10" t="inlineStr">
        <is>
          <t>구현</t>
        </is>
      </c>
      <c r="F130" s="9" t="inlineStr">
        <is>
          <t>있음</t>
        </is>
      </c>
      <c r="G130" s="9" t="inlineStr">
        <is>
          <t>GET /programs/:id/slots</t>
        </is>
      </c>
    </row>
    <row r="131">
      <c r="A131" s="9" t="inlineStr">
        <is>
          <t>PRG-FN-06</t>
        </is>
      </c>
      <c r="B131" s="9" t="inlineStr">
        <is>
          <t>강사프로그램게시</t>
        </is>
      </c>
      <c r="C131" s="9" t="inlineStr">
        <is>
          <t>기능</t>
        </is>
      </c>
      <c r="D131" s="9" t="inlineStr">
        <is>
          <t>회차 등록</t>
        </is>
      </c>
      <c r="E131" s="10" t="inlineStr">
        <is>
          <t>구현</t>
        </is>
      </c>
      <c r="F131" s="9" t="inlineStr">
        <is>
          <t>있음</t>
        </is>
      </c>
      <c r="G131" s="9" t="inlineStr">
        <is>
          <t>POST /programs/:id/slots</t>
        </is>
      </c>
    </row>
    <row r="132">
      <c r="A132" s="9" t="inlineStr">
        <is>
          <t>PRG-FN-07</t>
        </is>
      </c>
      <c r="B132" s="9" t="inlineStr">
        <is>
          <t>강사프로그램게시</t>
        </is>
      </c>
      <c r="C132" s="9" t="inlineStr">
        <is>
          <t>기능</t>
        </is>
      </c>
      <c r="D132" s="9" t="inlineStr">
        <is>
          <t>프로그램 상태 전이(준비중·진행중·휴강·종료) — 영향받는 예약 반환</t>
        </is>
      </c>
      <c r="E132" s="10" t="inlineStr">
        <is>
          <t>구현</t>
        </is>
      </c>
      <c r="F132" s="9" t="inlineStr">
        <is>
          <t>있음</t>
        </is>
      </c>
      <c r="G132" s="9" t="inlineStr">
        <is>
          <t>PATCH /programs/:id/status</t>
        </is>
      </c>
    </row>
    <row r="133">
      <c r="A133" s="9" t="inlineStr">
        <is>
          <t>PRG-FN-08</t>
        </is>
      </c>
      <c r="B133" s="9" t="inlineStr">
        <is>
          <t>강사프로그램게시</t>
        </is>
      </c>
      <c r="C133" s="9" t="inlineStr">
        <is>
          <t>기능</t>
        </is>
      </c>
      <c r="D133" s="9" t="inlineStr">
        <is>
          <t>강사 목록</t>
        </is>
      </c>
      <c r="E133" s="10" t="inlineStr">
        <is>
          <t>구현</t>
        </is>
      </c>
      <c r="F133" s="9" t="inlineStr">
        <is>
          <t>있음</t>
        </is>
      </c>
      <c r="G133" s="9" t="inlineStr">
        <is>
          <t>GET /instructors</t>
        </is>
      </c>
    </row>
    <row r="134">
      <c r="A134" s="9" t="inlineStr">
        <is>
          <t>PRG-FN-09</t>
        </is>
      </c>
      <c r="B134" s="9" t="inlineStr">
        <is>
          <t>강사프로그램게시</t>
        </is>
      </c>
      <c r="C134" s="9" t="inlineStr">
        <is>
          <t>기능</t>
        </is>
      </c>
      <c r="D134" s="9" t="inlineStr">
        <is>
          <t>강사 등록</t>
        </is>
      </c>
      <c r="E134" s="10" t="inlineStr">
        <is>
          <t>구현</t>
        </is>
      </c>
      <c r="F134" s="9" t="inlineStr">
        <is>
          <t>있음</t>
        </is>
      </c>
      <c r="G134" s="9" t="inlineStr">
        <is>
          <t>POST /instructors</t>
        </is>
      </c>
    </row>
    <row r="135">
      <c r="A135" s="9" t="inlineStr">
        <is>
          <t>PRG-FN-10</t>
        </is>
      </c>
      <c r="B135" s="9" t="inlineStr">
        <is>
          <t>강사프로그램게시</t>
        </is>
      </c>
      <c r="C135" s="9" t="inlineStr">
        <is>
          <t>기능</t>
        </is>
      </c>
      <c r="D135" s="9" t="inlineStr">
        <is>
          <t>강사 비활성화</t>
        </is>
      </c>
      <c r="E135" s="10" t="inlineStr">
        <is>
          <t>구현</t>
        </is>
      </c>
      <c r="F135" s="9" t="inlineStr">
        <is>
          <t>있음</t>
        </is>
      </c>
      <c r="G135" s="9" t="inlineStr">
        <is>
          <t>DELETE /instructors/:id</t>
        </is>
      </c>
    </row>
    <row r="136">
      <c r="A136" s="9" t="inlineStr">
        <is>
          <t>PRG-FN-11</t>
        </is>
      </c>
      <c r="B136" s="9" t="inlineStr">
        <is>
          <t>강사프로그램게시</t>
        </is>
      </c>
      <c r="C136" s="9" t="inlineStr">
        <is>
          <t>기능</t>
        </is>
      </c>
      <c r="D136" s="9" t="inlineStr">
        <is>
          <t>강사 수정</t>
        </is>
      </c>
      <c r="E136" s="10" t="inlineStr">
        <is>
          <t>구현</t>
        </is>
      </c>
      <c r="F136" s="9" t="inlineStr">
        <is>
          <t>있음</t>
        </is>
      </c>
      <c r="G136" s="9" t="inlineStr">
        <is>
          <t>PATCH /instructors/:id</t>
        </is>
      </c>
    </row>
    <row r="137">
      <c r="A137" s="9" t="inlineStr">
        <is>
          <t>PRG-FN-12</t>
        </is>
      </c>
      <c r="B137" s="9" t="inlineStr">
        <is>
          <t>강사프로그램게시</t>
        </is>
      </c>
      <c r="C137" s="9" t="inlineStr">
        <is>
          <t>기능</t>
        </is>
      </c>
      <c r="D137" s="9" t="inlineStr">
        <is>
          <t>지점별 프로그램 상태 요약</t>
        </is>
      </c>
      <c r="E137" s="10" t="inlineStr">
        <is>
          <t>구현</t>
        </is>
      </c>
      <c r="F137" s="9" t="inlineStr">
        <is>
          <t>있음</t>
        </is>
      </c>
      <c r="G137" s="9" t="inlineStr">
        <is>
          <t>GET /branches/:branchId/programs/summary</t>
        </is>
      </c>
    </row>
    <row r="138">
      <c r="A138" s="4" t="inlineStr">
        <is>
          <t>F08a</t>
        </is>
      </c>
      <c r="B138" s="4" t="inlineStr">
        <is>
          <t>혼잡도관리</t>
        </is>
      </c>
      <c r="C138" s="4" t="inlineStr">
        <is>
          <t>원문 기능</t>
        </is>
      </c>
      <c r="D138" s="4" t="inlineStr">
        <is>
          <t>시설별 이용현황·혼잡도를 5개 항목으로 나눠 게시</t>
        </is>
      </c>
      <c r="E138" s="4" t="inlineStr">
        <is>
          <t>-</t>
        </is>
      </c>
      <c r="F138" s="4" t="inlineStr">
        <is>
          <t>-</t>
        </is>
      </c>
      <c r="G138" s="4" t="inlineStr"/>
    </row>
    <row r="139">
      <c r="A139" s="4" t="inlineStr">
        <is>
          <t>F08b</t>
        </is>
      </c>
      <c r="B139" s="4" t="inlineStr">
        <is>
          <t>혼잡도관리</t>
        </is>
      </c>
      <c r="C139" s="4" t="inlineStr">
        <is>
          <t>원문 기능</t>
        </is>
      </c>
      <c r="D139" s="4" t="inlineStr">
        <is>
          <t>실시간 혹은 최대 30분 이내 이용현황 반영</t>
        </is>
      </c>
      <c r="E139" s="4" t="inlineStr">
        <is>
          <t>-</t>
        </is>
      </c>
      <c r="F139" s="4" t="inlineStr">
        <is>
          <t>-</t>
        </is>
      </c>
      <c r="G139" s="4" t="inlineStr"/>
    </row>
    <row r="140">
      <c r="A140" s="4" t="inlineStr">
        <is>
          <t>FAC-C03</t>
        </is>
      </c>
      <c r="B140" s="4" t="inlineStr">
        <is>
          <t>혼잡도관리</t>
        </is>
      </c>
      <c r="C140" s="4" t="inlineStr">
        <is>
          <t>원문 제약</t>
        </is>
      </c>
      <c r="D140" s="4" t="inlineStr">
        <is>
          <t>하드웨어(IoT 센서·CCTV) 기반 계측 불가 — §0이 이미 명시.</t>
        </is>
      </c>
      <c r="E140" s="4" t="inlineStr">
        <is>
          <t>-</t>
        </is>
      </c>
      <c r="F140" s="4" t="inlineStr">
        <is>
          <t>-</t>
        </is>
      </c>
      <c r="G140" s="4" t="inlineStr"/>
    </row>
    <row r="141">
      <c r="A141" s="4" t="inlineStr">
        <is>
          <t>FAC-C04</t>
        </is>
      </c>
      <c r="B141" s="4" t="inlineStr">
        <is>
          <t>혼잡도관리</t>
        </is>
      </c>
      <c r="C141" s="4" t="inlineStr">
        <is>
          <t>원문 제약</t>
        </is>
      </c>
      <c r="D141" s="4" t="inlineStr">
        <is>
          <t>스케줄러 인프라 없음(Phase 2 QR·자동계산이 이 제약으로 범위 제외됨).</t>
        </is>
      </c>
      <c r="E141" s="4" t="inlineStr">
        <is>
          <t>-</t>
        </is>
      </c>
      <c r="F141" s="4" t="inlineStr">
        <is>
          <t>-</t>
        </is>
      </c>
      <c r="G141" s="4" t="inlineStr"/>
    </row>
    <row r="142">
      <c r="A142" s="4" t="inlineStr">
        <is>
          <t>FAC-INV-01</t>
        </is>
      </c>
      <c r="B142" s="4" t="inlineStr">
        <is>
          <t>혼잡도관리</t>
        </is>
      </c>
      <c r="C142" s="4" t="inlineStr">
        <is>
          <t>불변규칙</t>
        </is>
      </c>
      <c r="D142" s="4" t="inlineStr">
        <is>
          <t>BRANCH_ADMIN은 자기 지점 시설만 관리한다. (CLAUDE.md 4대 불변식 — 지점 데이터 격리)</t>
        </is>
      </c>
      <c r="E142" s="10" t="inlineStr">
        <is>
          <t>구현</t>
        </is>
      </c>
      <c r="F142" s="4" t="inlineStr">
        <is>
          <t>-</t>
        </is>
      </c>
      <c r="G142" s="4" t="inlineStr">
        <is>
          <t>facility-lifecycle·catalog-flow·contract-termination·branch-isolation spec</t>
        </is>
      </c>
    </row>
    <row r="143">
      <c r="A143" s="4" t="inlineStr">
        <is>
          <t>FAC-INV-02</t>
        </is>
      </c>
      <c r="B143" s="4" t="inlineStr">
        <is>
          <t>혼잡도관리</t>
        </is>
      </c>
      <c r="C143" s="4" t="inlineStr">
        <is>
          <t>불변규칙</t>
        </is>
      </c>
      <c r="D143" s="4" t="inlineStr">
        <is>
          <t>정원(capacity)은 0이 될 수 없다. (0으로 나누면 계산 자체가 성립하지 않음 — 협의 대상이 아니라 수학적 제약)</t>
        </is>
      </c>
      <c r="E143" s="10" t="inlineStr">
        <is>
          <t>구현</t>
        </is>
      </c>
      <c r="F143" s="4" t="inlineStr">
        <is>
          <t>-</t>
        </is>
      </c>
      <c r="G143" s="4" t="inlineStr">
        <is>
          <t>facility-lifecycle·catalog-flow·contract-termination·branch-isolation spec</t>
        </is>
      </c>
    </row>
    <row r="144">
      <c r="A144" s="4" t="inlineStr">
        <is>
          <t>FAC-FN-01</t>
        </is>
      </c>
      <c r="B144" s="4" t="inlineStr">
        <is>
          <t>혼잡도관리</t>
        </is>
      </c>
      <c r="C144" s="4" t="inlineStr">
        <is>
          <t>기능</t>
        </is>
      </c>
      <c r="D144" s="4" t="inlineStr">
        <is>
          <t>시설 목록 + 현재 혼잡도</t>
        </is>
      </c>
      <c r="E144" s="10" t="inlineStr">
        <is>
          <t>구현</t>
        </is>
      </c>
      <c r="F144" s="4" t="inlineStr">
        <is>
          <t>있음</t>
        </is>
      </c>
      <c r="G144" s="4" t="inlineStr">
        <is>
          <t>GET /facilities</t>
        </is>
      </c>
    </row>
    <row r="145">
      <c r="A145" s="4" t="inlineStr">
        <is>
          <t>FAC-FN-02</t>
        </is>
      </c>
      <c r="B145" s="4" t="inlineStr">
        <is>
          <t>혼잡도관리</t>
        </is>
      </c>
      <c r="C145" s="4" t="inlineStr">
        <is>
          <t>기능</t>
        </is>
      </c>
      <c r="D145" s="4" t="inlineStr">
        <is>
          <t>시설 등록</t>
        </is>
      </c>
      <c r="E145" s="10" t="inlineStr">
        <is>
          <t>구현</t>
        </is>
      </c>
      <c r="F145" s="4" t="inlineStr">
        <is>
          <t>있음</t>
        </is>
      </c>
      <c r="G145" s="4" t="inlineStr">
        <is>
          <t>POST /facilities</t>
        </is>
      </c>
    </row>
    <row r="146">
      <c r="A146" s="4" t="inlineStr">
        <is>
          <t>FAC-FN-03</t>
        </is>
      </c>
      <c r="B146" s="4" t="inlineStr">
        <is>
          <t>혼잡도관리</t>
        </is>
      </c>
      <c r="C146" s="4" t="inlineStr">
        <is>
          <t>기능</t>
        </is>
      </c>
      <c r="D146" s="4" t="inlineStr">
        <is>
          <t>시설 수정·비활성화</t>
        </is>
      </c>
      <c r="E146" s="10" t="inlineStr">
        <is>
          <t>구현</t>
        </is>
      </c>
      <c r="F146" s="4" t="inlineStr">
        <is>
          <t>있음</t>
        </is>
      </c>
      <c r="G146" s="4" t="inlineStr">
        <is>
          <t>PATCH /facilities/:id</t>
        </is>
      </c>
    </row>
    <row r="147">
      <c r="A147" s="4" t="inlineStr">
        <is>
          <t>FAC-FN-04</t>
        </is>
      </c>
      <c r="B147" s="4" t="inlineStr">
        <is>
          <t>혼잡도관리</t>
        </is>
      </c>
      <c r="C147" s="4" t="inlineStr">
        <is>
          <t>기능</t>
        </is>
      </c>
      <c r="D147" s="4" t="inlineStr">
        <is>
          <t>혼잡도 수동 보정(인원 입력 → 5단계 자동 계산)</t>
        </is>
      </c>
      <c r="E147" s="10" t="inlineStr">
        <is>
          <t>구현</t>
        </is>
      </c>
      <c r="F147" s="4" t="inlineStr">
        <is>
          <t>있음</t>
        </is>
      </c>
      <c r="G147" s="4" t="inlineStr">
        <is>
          <t>POST /facilities/:id/congestion/manual</t>
        </is>
      </c>
    </row>
    <row r="148">
      <c r="A148" s="9" t="inlineStr">
        <is>
          <t>F10a</t>
        </is>
      </c>
      <c r="B148" s="9" t="inlineStr">
        <is>
          <t>자원문서관리</t>
        </is>
      </c>
      <c r="C148" s="9" t="inlineStr">
        <is>
          <t>원문 기능</t>
        </is>
      </c>
      <c r="D148" s="9" t="inlineStr">
        <is>
          <t>지점별 자산(운동기구·안전설비·비품)을 등록·조회·상태 관리</t>
        </is>
      </c>
      <c r="E148" s="9" t="inlineStr">
        <is>
          <t>-</t>
        </is>
      </c>
      <c r="F148" s="9" t="inlineStr">
        <is>
          <t>-</t>
        </is>
      </c>
      <c r="G148" s="9" t="inlineStr"/>
    </row>
    <row r="149">
      <c r="A149" s="9" t="inlineStr">
        <is>
          <t>F10b</t>
        </is>
      </c>
      <c r="B149" s="9" t="inlineStr">
        <is>
          <t>자원문서관리</t>
        </is>
      </c>
      <c r="C149" s="9" t="inlineStr">
        <is>
          <t>원문 기능</t>
        </is>
      </c>
      <c r="D149" s="9" t="inlineStr">
        <is>
          <t>자산 취득가액 기준 고정자산/소모품 자동 판정(100만원 초과 기준)</t>
        </is>
      </c>
      <c r="E149" s="9" t="inlineStr">
        <is>
          <t>-</t>
        </is>
      </c>
      <c r="F149" s="9" t="inlineStr">
        <is>
          <t>-</t>
        </is>
      </c>
      <c r="G149" s="9" t="inlineStr"/>
    </row>
    <row r="150">
      <c r="A150" s="9" t="inlineStr">
        <is>
          <t>F10c</t>
        </is>
      </c>
      <c r="B150" s="9" t="inlineStr">
        <is>
          <t>자원문서관리</t>
        </is>
      </c>
      <c r="C150" s="9" t="inlineStr">
        <is>
          <t>원문 기능</t>
        </is>
      </c>
      <c r="D150" s="9" t="inlineStr">
        <is>
          <t>계약서·인사서류 등 문서를 지점(또는 전사)에 연결해 보관, 카테고리별 보존기한 관리</t>
        </is>
      </c>
      <c r="E150" s="9" t="inlineStr">
        <is>
          <t>-</t>
        </is>
      </c>
      <c r="F150" s="9" t="inlineStr">
        <is>
          <t>-</t>
        </is>
      </c>
      <c r="G150" s="9" t="inlineStr"/>
    </row>
    <row r="151">
      <c r="A151" s="9" t="inlineStr">
        <is>
          <t>F10d</t>
        </is>
      </c>
      <c r="B151" s="9" t="inlineStr">
        <is>
          <t>자원문서관리</t>
        </is>
      </c>
      <c r="C151" s="9" t="inlineStr">
        <is>
          <t>원문 기능</t>
        </is>
      </c>
      <c r="D151" s="9" t="inlineStr">
        <is>
          <t>보존기한 임박 문서 목록</t>
        </is>
      </c>
      <c r="E151" s="9" t="inlineStr">
        <is>
          <t>-</t>
        </is>
      </c>
      <c r="F151" s="9" t="inlineStr">
        <is>
          <t>-</t>
        </is>
      </c>
      <c r="G151" s="9" t="inlineStr"/>
    </row>
    <row r="152">
      <c r="A152" s="9" t="inlineStr">
        <is>
          <t>RES-C05</t>
        </is>
      </c>
      <c r="B152" s="9" t="inlineStr">
        <is>
          <t>자원문서관리</t>
        </is>
      </c>
      <c r="C152" s="9" t="inlineStr">
        <is>
          <t>원문 제약</t>
        </is>
      </c>
      <c r="D152" s="9" t="inlineStr">
        <is>
          <t>실제 파일 업로드 인프라(스토리지·용량 제한·바이러스 검사) 없음 — fileUrl은 문자열만 받는다(부록 A-1, §7이 이미 범위 제외).</t>
        </is>
      </c>
      <c r="E152" s="9" t="inlineStr">
        <is>
          <t>-</t>
        </is>
      </c>
      <c r="F152" s="9" t="inlineStr">
        <is>
          <t>-</t>
        </is>
      </c>
      <c r="G152" s="9" t="inlineStr"/>
    </row>
    <row r="153">
      <c r="A153" s="9" t="inlineStr">
        <is>
          <t>RES-C06</t>
        </is>
      </c>
      <c r="B153" s="9" t="inlineStr">
        <is>
          <t>자원문서관리</t>
        </is>
      </c>
      <c r="C153" s="9" t="inlineStr">
        <is>
          <t>원문 제약</t>
        </is>
      </c>
      <c r="D153" s="9" t="inlineStr">
        <is>
          <t>회계 모듈이 없어 감가상각 정밀 계산(월할·자산군별 상각률)을 연동할 재무제표가 없음 — 부록 A-1이 이미 "연 1회 스냅샷" 수준으로 단순화하기로 조정했었고, 그마저도 2026-09-20에 완전히 범위 제외됨(§7).</t>
        </is>
      </c>
      <c r="E153" s="9" t="inlineStr">
        <is>
          <t>-</t>
        </is>
      </c>
      <c r="F153" s="9" t="inlineStr">
        <is>
          <t>-</t>
        </is>
      </c>
      <c r="G153" s="9" t="inlineStr"/>
    </row>
    <row r="154">
      <c r="A154" s="9" t="inlineStr">
        <is>
          <t>RES-INV-01</t>
        </is>
      </c>
      <c r="B154" s="9" t="inlineStr">
        <is>
          <t>자원문서관리</t>
        </is>
      </c>
      <c r="C154" s="9" t="inlineStr">
        <is>
          <t>불변규칙</t>
        </is>
      </c>
      <c r="D154" s="9" t="inlineStr">
        <is>
          <t>BRANCH_ADMIN은 자기 지점 자산·문서만 CRUD한다. (CLAUDE.md 4대 불변식 — 지점 데이터 격리)</t>
        </is>
      </c>
      <c r="E154" s="10" t="inlineStr">
        <is>
          <t>구현</t>
        </is>
      </c>
      <c r="F154" s="9" t="inlineStr">
        <is>
          <t>-</t>
        </is>
      </c>
      <c r="G154" s="9" t="inlineStr">
        <is>
          <t>asset-rules(동시 채번·자동 판정·수량·전이 경합)·document-rules·document-retention·contract-termination·branch-isolation spec</t>
        </is>
      </c>
    </row>
    <row r="155">
      <c r="A155" s="9" t="inlineStr">
        <is>
          <t>RES-INV-02</t>
        </is>
      </c>
      <c r="B155" s="9" t="inlineStr">
        <is>
          <t>자원문서관리</t>
        </is>
      </c>
      <c r="C155" s="9" t="inlineStr">
        <is>
          <t>불변규칙</t>
        </is>
      </c>
      <c r="D155" s="9" t="inlineStr">
        <is>
          <t>HR_RECORD(인사서류)는 대상 직원(relatedStaffId)을 반드시 지정해야 한다. (누구의 서류인지 모르는 인사서류는 존재 의미가 없음 — 부록 A-3이 이미 이렇게 설계)</t>
        </is>
      </c>
      <c r="E155" s="10" t="inlineStr">
        <is>
          <t>구현</t>
        </is>
      </c>
      <c r="F155" s="9" t="inlineStr">
        <is>
          <t>-</t>
        </is>
      </c>
      <c r="G155" s="9" t="inlineStr">
        <is>
          <t>asset-rules(동시 채번·자동 판정·수량·전이 경합)·document-rules·document-retention·contract-termination·branch-isolation spec</t>
        </is>
      </c>
    </row>
    <row r="156">
      <c r="A156" s="9" t="inlineStr">
        <is>
          <t>RES-INV-03</t>
        </is>
      </c>
      <c r="B156" s="9" t="inlineStr">
        <is>
          <t>자원문서관리</t>
        </is>
      </c>
      <c r="C156" s="9" t="inlineStr">
        <is>
          <t>불변규칙</t>
        </is>
      </c>
      <c r="D156" s="9" t="inlineStr">
        <is>
          <t>문서 삭제는 SUPER_ADMIN 전용이다. (계약서·인사서류는 법적 증빙 성격이라 지점 관리자가 임의로 지울 수 없어야 함 — 부록 A-7)</t>
        </is>
      </c>
      <c r="E156" s="10" t="inlineStr">
        <is>
          <t>구현</t>
        </is>
      </c>
      <c r="F156" s="9" t="inlineStr">
        <is>
          <t>-</t>
        </is>
      </c>
      <c r="G156" s="9" t="inlineStr">
        <is>
          <t>asset-rules(동시 채번·자동 판정·수량·전이 경합)·document-rules·document-retention·contract-termination·branch-isolation spec</t>
        </is>
      </c>
    </row>
    <row r="157">
      <c r="A157" s="9" t="inlineStr">
        <is>
          <t>RES-INV-04</t>
        </is>
      </c>
      <c r="B157" s="9" t="inlineStr">
        <is>
          <t>자원문서관리</t>
        </is>
      </c>
      <c r="C157" s="9" t="inlineStr">
        <is>
          <t>불변규칙</t>
        </is>
      </c>
      <c r="D157" s="9" t="inlineStr">
        <is>
          <t>문서는 소프트 삭제(D9)를 따른다. (계약·인사 분쟁 시 감사 목적 복구 가능성 — 부록 A-6)</t>
        </is>
      </c>
      <c r="E157" s="10" t="inlineStr">
        <is>
          <t>구현</t>
        </is>
      </c>
      <c r="F157" s="9" t="inlineStr">
        <is>
          <t>-</t>
        </is>
      </c>
      <c r="G157" s="9" t="inlineStr">
        <is>
          <t>asset-rules(동시 채번·자동 판정·수량·전이 경합)·document-rules·document-retention·contract-termination·branch-isolation spec</t>
        </is>
      </c>
    </row>
    <row r="158">
      <c r="A158" s="9" t="inlineStr">
        <is>
          <t>RES-FN-01</t>
        </is>
      </c>
      <c r="B158" s="9" t="inlineStr">
        <is>
          <t>자원문서관리</t>
        </is>
      </c>
      <c r="C158" s="9" t="inlineStr">
        <is>
          <t>기능</t>
        </is>
      </c>
      <c r="D158" s="9" t="inlineStr">
        <is>
          <t>자산·비품 목록(페이지네이션 D43)</t>
        </is>
      </c>
      <c r="E158" s="10" t="inlineStr">
        <is>
          <t>구현</t>
        </is>
      </c>
      <c r="F158" s="9" t="inlineStr">
        <is>
          <t>있음</t>
        </is>
      </c>
      <c r="G158" s="9" t="inlineStr">
        <is>
          <t>GET /assets</t>
        </is>
      </c>
    </row>
    <row r="159">
      <c r="A159" s="9" t="inlineStr">
        <is>
          <t>RES-FN-02</t>
        </is>
      </c>
      <c r="B159" s="9" t="inlineStr">
        <is>
          <t>자원문서관리</t>
        </is>
      </c>
      <c r="C159" s="9" t="inlineStr">
        <is>
          <t>기능</t>
        </is>
      </c>
      <c r="D159" s="9" t="inlineStr">
        <is>
          <t>자산 등록 — 자산코드 자동 채번, 계약 종료 지점 차단</t>
        </is>
      </c>
      <c r="E159" s="10" t="inlineStr">
        <is>
          <t>구현</t>
        </is>
      </c>
      <c r="F159" s="9" t="inlineStr">
        <is>
          <t>있음</t>
        </is>
      </c>
      <c r="G159" s="9" t="inlineStr">
        <is>
          <t>POST /assets</t>
        </is>
      </c>
    </row>
    <row r="160">
      <c r="A160" s="9" t="inlineStr">
        <is>
          <t>RES-FN-03</t>
        </is>
      </c>
      <c r="B160" s="9" t="inlineStr">
        <is>
          <t>자원문서관리</t>
        </is>
      </c>
      <c r="C160" s="9" t="inlineStr">
        <is>
          <t>기능</t>
        </is>
      </c>
      <c r="D160" s="9" t="inlineStr">
        <is>
          <t>자산 정보 수정</t>
        </is>
      </c>
      <c r="E160" s="10" t="inlineStr">
        <is>
          <t>구현</t>
        </is>
      </c>
      <c r="F160" s="9" t="inlineStr">
        <is>
          <t>있음</t>
        </is>
      </c>
      <c r="G160" s="9" t="inlineStr">
        <is>
          <t>PATCH /assets/:id</t>
        </is>
      </c>
    </row>
    <row r="161">
      <c r="A161" s="9" t="inlineStr">
        <is>
          <t>RES-FN-04</t>
        </is>
      </c>
      <c r="B161" s="9" t="inlineStr">
        <is>
          <t>자원문서관리</t>
        </is>
      </c>
      <c r="C161" s="9" t="inlineStr">
        <is>
          <t>기능</t>
        </is>
      </c>
      <c r="D161" s="9" t="inlineStr">
        <is>
          <t>자산 상태 전이(사용·수리·폐기 등)</t>
        </is>
      </c>
      <c r="E161" s="10" t="inlineStr">
        <is>
          <t>구현</t>
        </is>
      </c>
      <c r="F161" s="9" t="inlineStr">
        <is>
          <t>있음</t>
        </is>
      </c>
      <c r="G161" s="9" t="inlineStr">
        <is>
          <t>PATCH /assets/:id/status</t>
        </is>
      </c>
    </row>
    <row r="162">
      <c r="A162" s="9" t="inlineStr">
        <is>
          <t>RES-FN-05</t>
        </is>
      </c>
      <c r="B162" s="9" t="inlineStr">
        <is>
          <t>자원문서관리</t>
        </is>
      </c>
      <c r="C162" s="9" t="inlineStr">
        <is>
          <t>기능</t>
        </is>
      </c>
      <c r="D162" s="9" t="inlineStr">
        <is>
          <t>문서 목록</t>
        </is>
      </c>
      <c r="E162" s="10" t="inlineStr">
        <is>
          <t>구현</t>
        </is>
      </c>
      <c r="F162" s="9" t="inlineStr">
        <is>
          <t>있음</t>
        </is>
      </c>
      <c r="G162" s="9" t="inlineStr">
        <is>
          <t>GET /documents</t>
        </is>
      </c>
    </row>
    <row r="163">
      <c r="A163" s="9" t="inlineStr">
        <is>
          <t>RES-FN-06</t>
        </is>
      </c>
      <c r="B163" s="9" t="inlineStr">
        <is>
          <t>자원문서관리</t>
        </is>
      </c>
      <c r="C163" s="9" t="inlineStr">
        <is>
          <t>기능</t>
        </is>
      </c>
      <c r="D163" s="9" t="inlineStr">
        <is>
          <t>문서 등록 — 계약서 보존기한 필수, 계약 종료 지점 차단</t>
        </is>
      </c>
      <c r="E163" s="10" t="inlineStr">
        <is>
          <t>구현</t>
        </is>
      </c>
      <c r="F163" s="9" t="inlineStr">
        <is>
          <t>있음</t>
        </is>
      </c>
      <c r="G163" s="9" t="inlineStr">
        <is>
          <t>POST /documents</t>
        </is>
      </c>
    </row>
    <row r="164">
      <c r="A164" s="9" t="inlineStr">
        <is>
          <t>RES-FN-07</t>
        </is>
      </c>
      <c r="B164" s="9" t="inlineStr">
        <is>
          <t>자원문서관리</t>
        </is>
      </c>
      <c r="C164" s="9" t="inlineStr">
        <is>
          <t>기능</t>
        </is>
      </c>
      <c r="D164" s="9" t="inlineStr">
        <is>
          <t>문서 삭제(소프트, 본사)</t>
        </is>
      </c>
      <c r="E164" s="10" t="inlineStr">
        <is>
          <t>구현</t>
        </is>
      </c>
      <c r="F164" s="9" t="inlineStr">
        <is>
          <t>있음</t>
        </is>
      </c>
      <c r="G164" s="9" t="inlineStr">
        <is>
          <t>DELETE /documents/:id</t>
        </is>
      </c>
    </row>
    <row r="165">
      <c r="A165" s="9" t="inlineStr">
        <is>
          <t>RES-FN-08</t>
        </is>
      </c>
      <c r="B165" s="9" t="inlineStr">
        <is>
          <t>자원문서관리</t>
        </is>
      </c>
      <c r="C165" s="9" t="inlineStr">
        <is>
          <t>기능</t>
        </is>
      </c>
      <c r="D165" s="9" t="inlineStr">
        <is>
          <t>문서 상세</t>
        </is>
      </c>
      <c r="E165" s="10" t="inlineStr">
        <is>
          <t>구현</t>
        </is>
      </c>
      <c r="F165" s="9" t="inlineStr">
        <is>
          <t>있음</t>
        </is>
      </c>
      <c r="G165" s="9" t="inlineStr">
        <is>
          <t>GET /documents/:id</t>
        </is>
      </c>
    </row>
    <row r="166">
      <c r="A166" s="9" t="inlineStr">
        <is>
          <t>RES-FN-09</t>
        </is>
      </c>
      <c r="B166" s="9" t="inlineStr">
        <is>
          <t>자원문서관리</t>
        </is>
      </c>
      <c r="C166" s="9" t="inlineStr">
        <is>
          <t>기능</t>
        </is>
      </c>
      <c r="D166" s="9" t="inlineStr">
        <is>
          <t>보존기한 임박 문서(본사)</t>
        </is>
      </c>
      <c r="E166" s="10" t="inlineStr">
        <is>
          <t>구현</t>
        </is>
      </c>
      <c r="F166" s="9" t="inlineStr">
        <is>
          <t>있음</t>
        </is>
      </c>
      <c r="G166" s="9" t="inlineStr">
        <is>
          <t>GET /documents/retention-alerts</t>
        </is>
      </c>
    </row>
    <row r="167">
      <c r="A167" s="4" t="inlineStr">
        <is>
          <t>COM-FN-01</t>
        </is>
      </c>
      <c r="B167" s="4" t="inlineStr">
        <is>
          <t>공통</t>
        </is>
      </c>
      <c r="C167" s="4" t="inlineStr">
        <is>
          <t>기능</t>
        </is>
      </c>
      <c r="D167" s="4" t="inlineStr">
        <is>
          <t>헬스체크(DB 미경유)</t>
        </is>
      </c>
      <c r="E167" s="10" t="inlineStr">
        <is>
          <t>구현</t>
        </is>
      </c>
      <c r="F167" s="4" t="inlineStr">
        <is>
          <t>불필요</t>
        </is>
      </c>
      <c r="G167" s="4" t="inlineStr">
        <is>
          <t>GET /health</t>
        </is>
      </c>
    </row>
    <row r="168">
      <c r="A168" s="4" t="inlineStr">
        <is>
          <t>COM-FN-02</t>
        </is>
      </c>
      <c r="B168" s="4" t="inlineStr">
        <is>
          <t>공통</t>
        </is>
      </c>
      <c r="C168" s="4" t="inlineStr">
        <is>
          <t>기능</t>
        </is>
      </c>
      <c r="D168" s="4" t="inlineStr">
        <is>
          <t>변경 이력 조회(본사) — 역할 전환·퇴사·파견 발령·파견 종료·전화번호 열람(D44·D47)</t>
        </is>
      </c>
      <c r="E168" s="10" t="inlineStr">
        <is>
          <t>구현</t>
        </is>
      </c>
      <c r="F168" s="4" t="inlineStr">
        <is>
          <t>있음</t>
        </is>
      </c>
      <c r="G168" s="4" t="inlineStr">
        <is>
          <t>GET /audit-logs</t>
        </is>
      </c>
    </row>
    <row r="169">
      <c r="A169" s="4" t="inlineStr">
        <is>
          <t>COM-FN-03</t>
        </is>
      </c>
      <c r="B169" s="4" t="inlineStr">
        <is>
          <t>공통</t>
        </is>
      </c>
      <c r="C169" s="4" t="inlineStr">
        <is>
          <t>기능</t>
        </is>
      </c>
      <c r="D169" s="4" t="inlineStr">
        <is>
          <t>공개 지점 목록(이름·지역만, 계약 종료 지점 제외) — 회원 웹 가입용(ADR-MEM-05)</t>
        </is>
      </c>
      <c r="E169" s="10" t="inlineStr">
        <is>
          <t>구현</t>
        </is>
      </c>
      <c r="F169" s="4" t="inlineStr">
        <is>
          <t>있음</t>
        </is>
      </c>
      <c r="G169" s="4" t="inlineStr">
        <is>
          <t>GET /branches/public</t>
        </is>
      </c>
    </row>
    <row r="170">
      <c r="A170" s="4" t="inlineStr">
        <is>
          <t>COM-FN-04</t>
        </is>
      </c>
      <c r="B170" s="4" t="inlineStr">
        <is>
          <t>공통</t>
        </is>
      </c>
      <c r="C170" s="4" t="inlineStr">
        <is>
          <t>기능</t>
        </is>
      </c>
      <c r="D170" s="4" t="inlineStr">
        <is>
          <t>지점 목록(계약 정보 포함)</t>
        </is>
      </c>
      <c r="E170" s="10" t="inlineStr">
        <is>
          <t>구현</t>
        </is>
      </c>
      <c r="F170" s="4" t="inlineStr">
        <is>
          <t>있음</t>
        </is>
      </c>
      <c r="G170" s="4" t="inlineStr">
        <is>
          <t>GET /branches</t>
        </is>
      </c>
    </row>
    <row r="171">
      <c r="A171" s="4" t="inlineStr">
        <is>
          <t>COM-FN-05</t>
        </is>
      </c>
      <c r="B171" s="4" t="inlineStr">
        <is>
          <t>공통</t>
        </is>
      </c>
      <c r="C171" s="4" t="inlineStr">
        <is>
          <t>기능</t>
        </is>
      </c>
      <c r="D171" s="4" t="inlineStr">
        <is>
          <t>계약 상태 변경(본사) — TERMINATED 전이 시 진행 중 파견 종료·재배치 대기 반환(ADR-STF-07)</t>
        </is>
      </c>
      <c r="E171" s="10" t="inlineStr">
        <is>
          <t>구현</t>
        </is>
      </c>
      <c r="F171" s="4" t="inlineStr">
        <is>
          <t>있음</t>
        </is>
      </c>
      <c r="G171" s="4" t="inlineStr">
        <is>
          <t>PATCH /branches/:branchId/contract-status</t>
        </is>
      </c>
    </row>
    <row r="172">
      <c r="A172" s="4" t="inlineStr">
        <is>
          <t>COM-FN-06</t>
        </is>
      </c>
      <c r="B172" s="4" t="inlineStr">
        <is>
          <t>공통</t>
        </is>
      </c>
      <c r="C172" s="4" t="inlineStr">
        <is>
          <t>기능</t>
        </is>
      </c>
      <c r="D172" s="4" t="inlineStr">
        <is>
          <t>지점 운영 실적 — 최근 3개월 매출·예약·완료·신규 회원(KST 월 기준)</t>
        </is>
      </c>
      <c r="E172" s="10" t="inlineStr">
        <is>
          <t>구현</t>
        </is>
      </c>
      <c r="F172" s="4" t="inlineStr">
        <is>
          <t>있음</t>
        </is>
      </c>
      <c r="G172" s="4" t="inlineStr">
        <is>
          <t>GET /branches/:branchId/performance</t>
        </is>
      </c>
    </row>
    <row r="173">
      <c r="A173" s="4" t="inlineStr">
        <is>
          <t>COM-FN-07</t>
        </is>
      </c>
      <c r="B173" s="4" t="inlineStr">
        <is>
          <t>공통</t>
        </is>
      </c>
      <c r="C173" s="4" t="inlineStr">
        <is>
          <t>기능</t>
        </is>
      </c>
      <c r="D173" s="4" t="inlineStr">
        <is>
          <t>업무지원 요청 등록(지점 관리자 → 본사, D56)</t>
        </is>
      </c>
      <c r="E173" s="10" t="inlineStr">
        <is>
          <t>구현</t>
        </is>
      </c>
      <c r="F173" s="4" t="inlineStr">
        <is>
          <t>있음</t>
        </is>
      </c>
      <c r="G173" s="4" t="inlineStr">
        <is>
          <t>POST /support-requests</t>
        </is>
      </c>
    </row>
    <row r="174">
      <c r="A174" s="4" t="inlineStr">
        <is>
          <t>COM-FN-08</t>
        </is>
      </c>
      <c r="B174" s="4" t="inlineStr">
        <is>
          <t>공통</t>
        </is>
      </c>
      <c r="C174" s="4" t="inlineStr">
        <is>
          <t>기능</t>
        </is>
      </c>
      <c r="D174" s="4" t="inlineStr">
        <is>
          <t>업무지원 요청 목록(지점은 자기 지점, 본사는 전체)</t>
        </is>
      </c>
      <c r="E174" s="10" t="inlineStr">
        <is>
          <t>구현</t>
        </is>
      </c>
      <c r="F174" s="4" t="inlineStr">
        <is>
          <t>있음</t>
        </is>
      </c>
      <c r="G174" s="4" t="inlineStr">
        <is>
          <t>GET /support-requests</t>
        </is>
      </c>
    </row>
    <row r="175">
      <c r="A175" s="4" t="inlineStr">
        <is>
          <t>COM-FN-09</t>
        </is>
      </c>
      <c r="B175" s="4" t="inlineStr">
        <is>
          <t>공통</t>
        </is>
      </c>
      <c r="C175" s="4" t="inlineStr">
        <is>
          <t>기능</t>
        </is>
      </c>
      <c r="D175" s="4" t="inlineStr">
        <is>
          <t>업무지원 요청 상세</t>
        </is>
      </c>
      <c r="E175" s="10" t="inlineStr">
        <is>
          <t>구현</t>
        </is>
      </c>
      <c r="F175" s="4" t="inlineStr">
        <is>
          <t>없음</t>
        </is>
      </c>
      <c r="G175" s="4" t="inlineStr">
        <is>
          <t>GET /support-requests/:id</t>
        </is>
      </c>
    </row>
    <row r="176">
      <c r="A176" s="4" t="inlineStr">
        <is>
          <t>COM-FN-10</t>
        </is>
      </c>
      <c r="B176" s="4" t="inlineStr">
        <is>
          <t>공통</t>
        </is>
      </c>
      <c r="C176" s="4" t="inlineStr">
        <is>
          <t>기능</t>
        </is>
      </c>
      <c r="D176" s="4" t="inlineStr">
        <is>
          <t>업무지원 요청 처리 상태 변경(본사)</t>
        </is>
      </c>
      <c r="E176" s="10" t="inlineStr">
        <is>
          <t>구현</t>
        </is>
      </c>
      <c r="F176" s="4" t="inlineStr">
        <is>
          <t>있음</t>
        </is>
      </c>
      <c r="G176" s="4" t="inlineStr">
        <is>
          <t>PATCH /support-requests/:id/status</t>
        </is>
      </c>
    </row>
    <row r="177">
      <c r="A177" s="9" t="inlineStr">
        <is>
          <t>GAP-01</t>
        </is>
      </c>
      <c r="B177" s="9" t="inlineStr">
        <is>
          <t>RFP 공통</t>
        </is>
      </c>
      <c r="C177" s="9" t="inlineStr">
        <is>
          <t>미구현</t>
        </is>
      </c>
      <c r="D177" s="9" t="inlineStr">
        <is>
          <t>사용자별·프로그램별 세부 권한(입력·수정·삭제·조회·출력), 개인별·기능별 접근 통제 — 부분 — 역할 4개 + 지점 격리로 조정(D1). 출력은 회원·근태 요약·결제 CSV를 역할 기준으로만(D54), 인쇄용 화면 없음</t>
        </is>
      </c>
      <c r="E177" s="11" t="inlineStr">
        <is>
          <t>부분</t>
        </is>
      </c>
      <c r="F177" s="9" t="inlineStr">
        <is>
          <t>-</t>
        </is>
      </c>
      <c r="G177" s="9" t="inlineStr">
        <is>
          <t>권한관리(1-1 #1)·UI 보안(1-2 #7)</t>
        </is>
      </c>
    </row>
    <row r="178">
      <c r="A178" s="9" t="inlineStr">
        <is>
          <t>GAP-02</t>
        </is>
      </c>
      <c r="B178" s="9" t="inlineStr">
        <is>
          <t>RFP 공통</t>
        </is>
      </c>
      <c r="C178" s="9" t="inlineStr">
        <is>
          <t>미구현</t>
        </is>
      </c>
      <c r="D178" s="9" t="inlineStr">
        <is>
          <t>현장→이용자 "각 시설에 대한" 공지 글·이미지 — 부분 — 공지는 지점 단위라 시설을 지정할 수 없다(이미지는 회원 웹 공지 상세 본문 아래에 보인다, log/137)</t>
        </is>
      </c>
      <c r="E178" s="11" t="inlineStr">
        <is>
          <t>부분</t>
        </is>
      </c>
      <c r="F178" s="9" t="inlineStr">
        <is>
          <t>-</t>
        </is>
      </c>
      <c r="G178" s="9" t="inlineStr">
        <is>
          <t>게시판(1-1 #4)</t>
        </is>
      </c>
    </row>
    <row r="179">
      <c r="A179" s="9" t="inlineStr">
        <is>
          <t>GAP-03</t>
        </is>
      </c>
      <c r="B179" s="9" t="inlineStr">
        <is>
          <t>RFP 공통</t>
        </is>
      </c>
      <c r="C179" s="9" t="inlineStr">
        <is>
          <t>미구현</t>
        </is>
      </c>
      <c r="D179" s="9" t="inlineStr">
        <is>
          <t>메모리 평균 85% 이하 유지 — 부분 — 경보 절차는 작성(aws-lambda/README §6). AWS 콘솔 적용은 사용자 작업 — 아직 없음</t>
        </is>
      </c>
      <c r="E179" s="11" t="inlineStr">
        <is>
          <t>부분</t>
        </is>
      </c>
      <c r="F179" s="9" t="inlineStr">
        <is>
          <t>-</t>
        </is>
      </c>
      <c r="G179" s="9" t="inlineStr">
        <is>
          <t>시스템가용성(1-1 #10)</t>
        </is>
      </c>
    </row>
    <row r="180">
      <c r="A180" s="9" t="inlineStr">
        <is>
          <t>GAP-04</t>
        </is>
      </c>
      <c r="B180" s="9" t="inlineStr">
        <is>
          <t>RFP 공통</t>
        </is>
      </c>
      <c r="C180" s="9" t="inlineStr">
        <is>
          <t>미구현</t>
        </is>
      </c>
      <c r="D180" s="9" t="inlineStr">
        <is>
          <t>결제 시스템의 금융·보안기관 연계 가능 여부 확인 — 부분 — 모의 결제와 결제 어댑터 설계(ADR-RSV-03)만. PG사 연계 요건 확인 문서 없음</t>
        </is>
      </c>
      <c r="E180" s="11" t="inlineStr">
        <is>
          <t>부분</t>
        </is>
      </c>
      <c r="F180" s="9" t="inlineStr">
        <is>
          <t>-</t>
        </is>
      </c>
      <c r="G180" s="9" t="inlineStr">
        <is>
          <t>UI 보안(1-2 #7)</t>
        </is>
      </c>
    </row>
    <row r="181">
      <c r="A181" s="9" t="inlineStr">
        <is>
          <t>GAP-05</t>
        </is>
      </c>
      <c r="B181" s="9" t="inlineStr">
        <is>
          <t>RFP 공통</t>
        </is>
      </c>
      <c r="C181" s="9" t="inlineStr">
        <is>
          <t>미구현</t>
        </is>
      </c>
      <c r="D181" s="9" t="inlineStr">
        <is>
          <t>이용자 매뉴얼 제작·게시판 탑재, 어플 사용 교육 자료 — 부분 — 관리자 웹 화면별 도움말과 회원 웹 이용 안내는 있다. 별도 사용자 매뉴얼(교육 자료 1편)과 게시판 탑재는 없다. 대면 교육은 해당 없음</t>
        </is>
      </c>
      <c r="E181" s="11" t="inlineStr">
        <is>
          <t>부분</t>
        </is>
      </c>
      <c r="F181" s="9" t="inlineStr">
        <is>
          <t>-</t>
        </is>
      </c>
      <c r="G181" s="9" t="inlineStr">
        <is>
          <t>과업4·산출물5(p.4·p.7)</t>
        </is>
      </c>
    </row>
    <row r="182">
      <c r="A182" s="9" t="inlineStr">
        <is>
          <t>GAP-06</t>
        </is>
      </c>
      <c r="B182" s="9" t="inlineStr">
        <is>
          <t>RFP 공통</t>
        </is>
      </c>
      <c r="C182" s="9" t="inlineStr">
        <is>
          <t>미구현</t>
        </is>
      </c>
      <c r="D182" s="9" t="inlineStr">
        <is>
          <t>단계별 개발 진행 보고서 5부 — 부분 — 진행 기록(docs/log/ 130여 건)·발표 자료는 있지만 개발·테스트·검수·도입·기대효과 단계별 보고서 형식은 없다</t>
        </is>
      </c>
      <c r="E182" s="11" t="inlineStr">
        <is>
          <t>부분</t>
        </is>
      </c>
      <c r="F182" s="9" t="inlineStr">
        <is>
          <t>-</t>
        </is>
      </c>
      <c r="G182" s="9" t="inlineStr">
        <is>
          <t>산출물4(p.7)</t>
        </is>
      </c>
    </row>
  </sheetData>
  <autoFilter ref="A11:G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0" customWidth="1" min="4" max="4"/>
    <col width="24" customWidth="1" min="5" max="5"/>
    <col width="60" customWidth="1" min="6" max="6"/>
    <col width="16" customWidth="1" min="7" max="7"/>
  </cols>
  <sheetData>
    <row r="1">
      <c r="A1" s="1" t="inlineStr">
        <is>
          <t>RFP 추적표</t>
        </is>
      </c>
    </row>
    <row r="2">
      <c r="A2" s="2" t="inlineStr">
        <is>
          <t>제안요청서(2022.06) 원문 요구 → 도메인 → 조정 내용과 근거. 원천: docs/reference/요구사항추적표.md §1</t>
        </is>
      </c>
    </row>
    <row r="4">
      <c r="A4" s="5" t="inlineStr">
        <is>
          <t>기능·성능 요구(원문 순번, 9번은 원문 결번)</t>
        </is>
      </c>
    </row>
    <row r="5">
      <c r="A5" s="6" t="inlineStr">
        <is>
          <t>#</t>
        </is>
      </c>
      <c r="B5" s="6" t="inlineStr">
        <is>
          <t>구분</t>
        </is>
      </c>
      <c r="C5" s="6" t="inlineStr">
        <is>
          <t>요구사항명</t>
        </is>
      </c>
      <c r="D5" s="6" t="inlineStr">
        <is>
          <t>원문 요약</t>
        </is>
      </c>
      <c r="E5" s="6" t="inlineStr">
        <is>
          <t>도메인</t>
        </is>
      </c>
      <c r="F5" s="6" t="inlineStr">
        <is>
          <t>조정 요약</t>
        </is>
      </c>
      <c r="G5" s="6" t="inlineStr">
        <is>
          <t>결정 근거</t>
        </is>
      </c>
    </row>
    <row r="6">
      <c r="A6" s="4" t="inlineStr">
        <is>
          <t>1</t>
        </is>
      </c>
      <c r="B6" s="4" t="inlineStr">
        <is>
          <t>기능</t>
        </is>
      </c>
      <c r="C6" s="4" t="inlineStr">
        <is>
          <t>권한관리</t>
        </is>
      </c>
      <c r="D6" s="4" t="inlineStr">
        <is>
          <t>관리자계정에만 권한관리 부여 · 사용자별/프로그램별 세부 권한(입력·수정·삭제·조회·출력) · 본사-현장-이용자 별도 권한관리 · 퇴사 후 접근통제</t>
        </is>
      </c>
      <c r="E6" s="4" t="inlineStr">
        <is>
          <t>권한관리</t>
        </is>
      </c>
      <c r="F6" s="4" t="inlineStr">
        <is>
          <t>세부 ACL → 4-Role 고정 RBAC로 단순화. 지점 간 격리(전역 가드, D46)·퇴사 즉시 차단은 그대로 구현. "출력"은 목록 CSV를 역할 기준으로(D54)</t>
        </is>
      </c>
      <c r="G6" s="4" t="inlineStr">
        <is>
          <t>D1, D12, D46, D54</t>
        </is>
      </c>
    </row>
    <row r="7">
      <c r="A7" s="4" t="inlineStr">
        <is>
          <t>2</t>
        </is>
      </c>
      <c r="B7" s="4" t="inlineStr">
        <is>
          <t>기능</t>
        </is>
      </c>
      <c r="C7" s="4" t="inlineStr">
        <is>
          <t>인사정보관리</t>
        </is>
      </c>
      <c r="D7" s="4" t="inlineStr">
        <is>
          <t>현장별 인사관리탭·코드생성 · 모든 인사기록 한 화면 조회 · 권한부여/승인 시 수정</t>
        </is>
      </c>
      <c r="E7" s="4" t="inlineStr">
        <is>
          <t>인사정보관리</t>
        </is>
      </c>
      <c r="F7" s="4" t="inlineStr">
        <is>
          <t>다단계 결재 → 본인 신청 + 지점 관리자 1단계 승인으로 단순화(ADR-STF-09). 인사기록은 직원 상세 한 화면(파견·근태·휴가·업무일지·인사서류, log/116)</t>
        </is>
      </c>
      <c r="G7" s="4" t="inlineStr">
        <is>
          <t>D3, ADR-STF-09</t>
        </is>
      </c>
    </row>
    <row r="8">
      <c r="A8" s="4" t="inlineStr">
        <is>
          <t>3</t>
        </is>
      </c>
      <c r="B8" s="4" t="inlineStr">
        <is>
          <t>기능</t>
        </is>
      </c>
      <c r="C8" s="4" t="inlineStr">
        <is>
          <t>근태관리</t>
        </is>
      </c>
      <c r="D8" s="4" t="inlineStr">
        <is>
          <t>현장별·개인별 근태등록 · 휴무/연차/병가 기록·일수관리 · 업무일지 작성</t>
        </is>
      </c>
      <c r="E8" s="4" t="inlineStr">
        <is>
          <t>근태관리</t>
        </is>
      </c>
      <c r="F8" s="4" t="inlineStr">
        <is>
          <t>생체·GPS 출퇴근 검증 제외 → 수동 체크인/체크아웃 + 지점 관리자 정정·누락일 등록(ADR-ATT-04). 연차 이월/소멸 등 세부 인사규정 단순화. 본사는 근태 현황 조회만</t>
        </is>
      </c>
      <c r="G8" s="4" t="inlineStr">
        <is>
          <t>ADR-ATT-04, 근태관리 A-7</t>
        </is>
      </c>
    </row>
    <row r="9">
      <c r="A9" s="4" t="inlineStr">
        <is>
          <t>4</t>
        </is>
      </c>
      <c r="B9" s="4" t="inlineStr">
        <is>
          <t>기능</t>
        </is>
      </c>
      <c r="C9" s="4" t="inlineStr">
        <is>
          <t>게시판(공지사항)</t>
        </is>
      </c>
      <c r="D9" s="4" t="inlineStr">
        <is>
          <t>본사→현장 / 현장→이용자 별도 게시판 · 본사→현장엔 직원관리탭(교육매뉴얼·자료) · 현장→이용자는 시설별 공지 글·이미지</t>
        </is>
      </c>
      <c r="E9" s="4" t="inlineStr">
        <is>
          <t>게시판</t>
        </is>
      </c>
      <c r="F9" s="4" t="inlineStr">
        <is>
          <t>댓글/좋아요 등 커뮤니티 부가기능만 범위 제외. 교육자료는 "직원 교육자료" 탭 + 첨부(서명 URL 저장소, ADR-BRD-04·D57). 공지는 지점 단위(시설 지정 없음)</t>
        </is>
      </c>
      <c r="G9" s="4" t="inlineStr">
        <is>
          <t>D57, ADR-BRD-04</t>
        </is>
      </c>
    </row>
    <row r="10">
      <c r="A10" s="4" t="inlineStr">
        <is>
          <t>5</t>
        </is>
      </c>
      <c r="B10" s="4" t="inlineStr">
        <is>
          <t>기능</t>
        </is>
      </c>
      <c r="C10" s="4" t="inlineStr">
        <is>
          <t>회원관리</t>
        </is>
      </c>
      <c r="D10" s="4" t="inlineStr">
        <is>
          <t>지점별 회원 인적사항·수강내역·예약및결제내역·PT잔여세션 기록 · 타현장 정보 조회불가능하게 할 수 있는 권한 필요</t>
        </is>
      </c>
      <c r="E10" s="4" t="inlineStr">
        <is>
          <t>회원관리</t>
        </is>
      </c>
      <c r="F10" s="4" t="inlineStr">
        <is>
          <t>조정 없음 — 프로젝트의 핵심 기능으로 판단해 가장 공들여 구현. "타현장 조회 불가"는 BranchScopeGuard로 선택이 아닌 항상-강제 동작으로 구현</t>
        </is>
      </c>
      <c r="G10" s="4" t="inlineStr">
        <is>
          <t>D2(멀티테넌시 branchId 격리) — 이 요구사항이 D2의 직접적 근거</t>
        </is>
      </c>
    </row>
    <row r="11">
      <c r="A11" s="4" t="inlineStr">
        <is>
          <t>6</t>
        </is>
      </c>
      <c r="B11" s="4" t="inlineStr">
        <is>
          <t>기능</t>
        </is>
      </c>
      <c r="C11" s="4" t="inlineStr">
        <is>
          <t>예약및결제</t>
        </is>
      </c>
      <c r="D11" s="4" t="inlineStr">
        <is>
          <t>무/유료 프로그램 게시 후 예약·모바일결제 · 결제내역 처리방법 추후논의(원본에도 미확정 명시)</t>
        </is>
      </c>
      <c r="E11" s="4" t="inlineStr">
        <is>
          <t>예약및결제</t>
        </is>
      </c>
      <c r="F11" s="4" t="inlineStr">
        <is>
          <t>실 PG 연동 불가 → Mock Payment로 대체하되 상태 전이(대기→승인→환불)와 결제·취소 경합은 실물처럼 구현(ADR-RSV-07). 모바일은 회원 모바일 웹(D41)</t>
        </is>
      </c>
      <c r="G11" s="4" t="inlineStr">
        <is>
          <t>D5, D6, D41</t>
        </is>
      </c>
    </row>
    <row r="12">
      <c r="A12" s="4" t="inlineStr">
        <is>
          <t>7</t>
        </is>
      </c>
      <c r="B12" s="4" t="inlineStr">
        <is>
          <t>기능</t>
        </is>
      </c>
      <c r="C12" s="4" t="inlineStr">
        <is>
          <t>강사,프로그램게시</t>
        </is>
      </c>
      <c r="D12" s="4" t="inlineStr">
        <is>
          <t>종목별 강사·프로그램 정보 게시 · 종목/시간대/연령대별 리스트</t>
        </is>
      </c>
      <c r="E12" s="4" t="inlineStr">
        <is>
          <t>강사프로그램게시</t>
        </is>
      </c>
      <c r="F12" s="4" t="inlineStr">
        <is>
          <t>조정 없음. 종목·연령대·시간대 필터는 두 앱 모두(ADR-PRG-04). 원본에 없던 Program.status(준비중/진행중/휴강/종료) 라이프사이클을 자체 추가</t>
        </is>
      </c>
      <c r="G12" s="4" t="inlineStr">
        <is>
          <t>D7, ADR-PRG-04</t>
        </is>
      </c>
    </row>
    <row r="13">
      <c r="A13" s="4" t="inlineStr">
        <is>
          <t>8</t>
        </is>
      </c>
      <c r="B13" s="4" t="inlineStr">
        <is>
          <t>기능</t>
        </is>
      </c>
      <c r="C13" s="4" t="inlineStr">
        <is>
          <t>혼잡도관리</t>
        </is>
      </c>
      <c r="D13" s="4" t="inlineStr">
        <is>
          <t>시설별(헬스장/수영장/골프장/독서실 등) 이용현황·혼잡도 5단계 게시 · 실시간 또는 최대 30분 이내 반영</t>
        </is>
      </c>
      <c r="E13" s="4" t="inlineStr">
        <is>
          <t>혼잡도관리</t>
        </is>
      </c>
      <c r="F13" s="4" t="inlineStr">
        <is>
          <t>IoT 계측 장비 없음 → 관리자 수동 입력 + 정원 기준 5단계 자동 판정(입력 즉시 반영). 입력 후 30분이 지나면 관리자·회원 화면에 경고(log/114). 체크인 기반 5분 주기 자동계산은 범위 제외</t>
        </is>
      </c>
      <c r="G13" s="4" t="inlineStr">
        <is>
          <t>D10, 혼잡도관리 A-8</t>
        </is>
      </c>
    </row>
    <row r="14">
      <c r="A14" s="4" t="inlineStr">
        <is>
          <t>10</t>
        </is>
      </c>
      <c r="B14" s="4" t="inlineStr">
        <is>
          <t>성능</t>
        </is>
      </c>
      <c r="C14" s="4" t="inlineStr">
        <is>
          <t>시스템가용성및안정성</t>
        </is>
      </c>
      <c r="D14" s="4" t="inlineStr">
        <is>
          <t>CPU 90%↓ · 메모리 85%↓ · 이용자 증가 대응 안정성 · 성능시험 · 과부하 사전점검</t>
        </is>
      </c>
      <c r="E14" s="4" t="inlineStr">
        <is>
          <t>system-overview §5</t>
        </is>
      </c>
      <c r="F14" s="4" t="inlineStr">
        <is>
          <t>배포 후 k6로 실측해 로그인 p95 15.16초(공유 CPU 경합)를 확인(D24) → 실DB 전환으로 무상태화(D26~D36) → AWS Lambda(서울) + 동시 실행 상한 10(D37). 원인 측정(D48)·Session pooler 전환(D49) 뒤 운영 재측정(2026-10-12): 요청당 처리 W 약 40ms, 과부하 실제 처리 약 80~90 rps(D50). 메모리 85% 경보는 절차만 있고 콘솔 적용 전</t>
        </is>
      </c>
      <c r="G14" s="4" t="inlineStr">
        <is>
          <t>D14, D37, D42, D48~D50</t>
        </is>
      </c>
    </row>
    <row r="15">
      <c r="A15" s="4" t="inlineStr">
        <is>
          <t>11</t>
        </is>
      </c>
      <c r="B15" s="4" t="inlineStr">
        <is>
          <t>성능</t>
        </is>
      </c>
      <c r="C15" s="4" t="inlineStr">
        <is>
          <t>시스템성능</t>
        </is>
      </c>
      <c r="D15" s="4" t="inlineStr">
        <is>
          <t>성능진단도구로 정확한 성능 진단 · 처리속도 느린 작업은 사전 알림</t>
        </is>
      </c>
      <c r="E15" s="4" t="inlineStr">
        <is>
          <t>system-overview §5</t>
        </is>
      </c>
      <c r="F15" s="4" t="inlineStr">
        <is>
          <t>부하 진단 도구는 k6(loadtest/), Lambda 경보·예산 경보로 운영자 이상 감지(D37). 사용자에게는 요청이 3초를 넘으면 안내, 15초면 재시도 제안(두 앱, D55)</t>
        </is>
      </c>
      <c r="G15" s="4" t="inlineStr">
        <is>
          <t>D14, D55</t>
        </is>
      </c>
    </row>
    <row r="17">
      <c r="A17" s="5" t="inlineStr">
        <is>
          <t>시스템·데이터·인터페이스·보안·사업지원·제약 요구</t>
        </is>
      </c>
    </row>
    <row r="18">
      <c r="A18" s="6" t="inlineStr">
        <is>
          <t>#</t>
        </is>
      </c>
      <c r="B18" s="6" t="inlineStr">
        <is>
          <t>구분</t>
        </is>
      </c>
      <c r="C18" s="6" t="inlineStr">
        <is>
          <t>요구사항명</t>
        </is>
      </c>
      <c r="D18" s="6" t="inlineStr">
        <is>
          <t>원문 요약</t>
        </is>
      </c>
      <c r="E18" s="6" t="inlineStr">
        <is>
          <t>대응·조정</t>
        </is>
      </c>
    </row>
    <row r="19">
      <c r="A19" s="4" t="inlineStr">
        <is>
          <t>1</t>
        </is>
      </c>
      <c r="B19" s="4" t="inlineStr">
        <is>
          <t>시스템</t>
        </is>
      </c>
      <c r="C19" s="4" t="inlineStr">
        <is>
          <t>시스템도입</t>
        </is>
      </c>
      <c r="D19" s="4" t="inlineStr">
        <is>
          <t>도입 전 사전이용테스트·총괄담당자 승인, 설치단계별 작업계획서</t>
        </is>
      </c>
      <c r="E19" s="4" t="inlineStr">
        <is>
          <t>포트폴리오 프로젝트 특성상 "발주기관 승인" 절차 자체는 해당 없음 — 산출물 문서화로 대체(운영 절차는 다루지 않음, 범위 외 명시)</t>
        </is>
      </c>
    </row>
    <row r="20">
      <c r="A20" s="4" t="inlineStr">
        <is>
          <t>2</t>
        </is>
      </c>
      <c r="B20" s="4" t="inlineStr">
        <is>
          <t>시스템</t>
        </is>
      </c>
      <c r="C20" s="4" t="inlineStr">
        <is>
          <t>설치및운영</t>
        </is>
      </c>
      <c r="D20" s="4" t="inlineStr">
        <is>
          <t>개발보안 준수, 개발자/발주기관/전문가 검증, 제조사 기술지원확약서</t>
        </is>
      </c>
      <c r="E20" s="4" t="inlineStr">
        <is>
          <t>1인 개발 구조상 "발주기관/전문가 검증" 주체가 없음 — CI(lint·빌드·jest·문서 검사)와 커밋 전 hook, 도메인 문서 §11 검증현황으로 대체. 개발보안은 행안부 구현단계 보안약점 49개로 점검했다(secure-coding-checklist — 대응 34·부분 4·해당 없음 11, 점검 중 찾은 문서 주소 XSS는 수정, log/139)</t>
        </is>
      </c>
    </row>
    <row r="21">
      <c r="A21" s="4" t="inlineStr">
        <is>
          <t>3</t>
        </is>
      </c>
      <c r="B21" s="4" t="inlineStr">
        <is>
          <t>데이터</t>
        </is>
      </c>
      <c r="C21" s="4" t="inlineStr">
        <is>
          <t>데이터관리방안</t>
        </is>
      </c>
      <c r="D21" s="4" t="inlineStr">
        <is>
          <t>대용량 데이터 표준관리 및 변경이력 관리, 오류데이터 진단·개선</t>
        </is>
      </c>
      <c r="E21" s="4" t="inlineStr">
        <is>
          <t>엔티티 단일 진실 공급원(entities.md) + DB 제약(CHECK·트리거, D27·D28). AuditLog — 인사 변경 4종(D44)·상세 전화번호 열람(D47)·근태 정정·회원 상태·자산 상태(D52)·인사 변경 신청 승인(ADR-STF-09), 본사 "변경 이력" 화면. 오류 데이터 진단 절차는 data-integrity §7(점검 SQL 9개)</t>
        </is>
      </c>
    </row>
    <row r="22">
      <c r="A22" s="4" t="inlineStr">
        <is>
          <t>4</t>
        </is>
      </c>
      <c r="B22" s="4" t="inlineStr">
        <is>
          <t>인터페이스</t>
        </is>
      </c>
      <c r="C22" s="4" t="inlineStr">
        <is>
          <t>온라인도움말</t>
        </is>
      </c>
      <c r="D22" s="4" t="inlineStr">
        <is>
          <t>화면별 기능사용 순서 안내, 오류처리·해결방법 안내</t>
        </is>
      </c>
      <c r="E22" s="4" t="inlineStr">
        <is>
          <t>화면별 도움말(log/089) — 관리자 웹 상단 버튼 → 오른쪽 패널에 역할별 사용 순서와 자주 나는 오류(로그인 외 모든 화면), 오류 문구 아래 "해결" 한 줄(lib/error-hints.ts). 회원 웹은 이용 안내(/m/guide, D51)</t>
        </is>
      </c>
    </row>
    <row r="23">
      <c r="A23" s="4" t="inlineStr">
        <is>
          <t>5</t>
        </is>
      </c>
      <c r="B23" s="4" t="inlineStr">
        <is>
          <t>인터페이스</t>
        </is>
      </c>
      <c r="C23" s="4" t="inlineStr">
        <is>
          <t>상호작용메시지</t>
        </is>
      </c>
      <c r="D23" s="4" t="inlineStr">
        <is>
          <t>사용자-시스템 상호작용 확인 메시지</t>
        </is>
      </c>
      <c r="E23" s="4" t="inlineStr">
        <is>
          <t>공통 Toast(쓰기 성공·경고)와 되돌리기 어려운 동작의 확인 창(디자인시스템 §5)</t>
        </is>
      </c>
    </row>
    <row r="24">
      <c r="A24" s="4" t="inlineStr">
        <is>
          <t>6</t>
        </is>
      </c>
      <c r="B24" s="4" t="inlineStr">
        <is>
          <t>인터페이스</t>
        </is>
      </c>
      <c r="C24" s="4" t="inlineStr">
        <is>
          <t>UI/UX</t>
        </is>
      </c>
      <c r="D24" s="4" t="inlineStr">
        <is>
          <t>통일성 있는 UI, 직관적 UX, 위치정보 MAP 형태, 권한별 버튼 제어, 입력창 크기 최적화, 캘린더/스케줄표 형태 예약 표시</t>
        </is>
      </c>
      <c r="E24" s="4" t="inlineStr">
        <is>
          <t>admin-web 디자인 토큰화(D15)로 통일성 확보. "페이지 위치 정보를 MAP형태로"는 현재 화면의 경로 표시로 해석해 구현(D51 — 홈 › 메뉴 › 화면). 예약 달력은 회원 웹 날짜 띠·관리자 주간 시간표(ADR-RSV-06). 입력 필드는 전화·숫자·이메일·URL에 맞는 자판과 자동완성 속성을 두 앱 모두에 지정(log/137)</t>
        </is>
      </c>
    </row>
    <row r="25">
      <c r="A25" s="4" t="inlineStr">
        <is>
          <t>7</t>
        </is>
      </c>
      <c r="B25" s="4" t="inlineStr">
        <is>
          <t>인터페이스</t>
        </is>
      </c>
      <c r="C25" s="4" t="inlineStr">
        <is>
          <t>사용자인터페이스보안</t>
        </is>
      </c>
      <c r="D25" s="4" t="inlineStr">
        <is>
          <t>개인정보 무단 노출 금지, 권한별/그룹별/개인별 접근통제, 결제-금융기관 연계 확인</t>
        </is>
      </c>
      <c r="E25" s="4" t="inlineStr">
        <is>
          <t>목록 응답 전화번호 마스킹(회원관리 ADR-MEM-04), 상세 전화번호 열람은 관리자가 열 때마다 AuditLog에 남고 본사만 본다(D47). 접근통제는 역할 4개 + 지점 격리(개인별·기능별 세부 권한은 없음, D1). 금융기관 연계는 결제 어댑터 설계(ADR-RSV-03)만</t>
        </is>
      </c>
    </row>
    <row r="26">
      <c r="A26" s="4" t="inlineStr">
        <is>
          <t>8</t>
        </is>
      </c>
      <c r="B26" s="4" t="inlineStr">
        <is>
          <t>보안</t>
        </is>
      </c>
      <c r="C26" s="4" t="inlineStr">
        <is>
          <t>보안요건</t>
        </is>
      </c>
      <c r="D26" s="4" t="inlineStr">
        <is>
          <t>사업수행 인원/문서/장비 보안관리계획, 개인정보보호법 26조 준수</t>
        </is>
      </c>
      <c r="E26" s="4" t="inlineStr">
        <is>
          <t>개인정보처리방침을 회원 웹 화면(/m/privacy)으로 작성 — 수집 항목·열람 범위·보관·처리 위탁(26조: Supabase·AWS·Cloudflare). 시연용 초안, 가입 시 동의는 화면에서만 받음(D51). 보안관리계획은 security-plan(인원·문서·장비·비밀값·위탁, 지금 약점 9건과 조치 계획 — log/139)</t>
        </is>
      </c>
    </row>
    <row r="27">
      <c r="A27" s="4" t="inlineStr">
        <is>
          <t>9</t>
        </is>
      </c>
      <c r="B27" s="4" t="inlineStr">
        <is>
          <t>사업지원</t>
        </is>
      </c>
      <c r="C27" s="4" t="inlineStr">
        <is>
          <t>하자보수</t>
        </is>
      </c>
      <c r="D27" s="4" t="inlineStr">
        <is>
          <t>무상보증기간 12개월, SW 신규버전 업그레이드 방침</t>
        </is>
      </c>
      <c r="E27" s="4" t="inlineStr">
        <is>
          <t>포트폴리오 프로젝트 특성상 해당 없음(실제 발주-수행 계약 관계가 아니므로 범위 외)</t>
        </is>
      </c>
    </row>
    <row r="28">
      <c r="A28" s="4" t="inlineStr">
        <is>
          <t>10</t>
        </is>
      </c>
      <c r="B28" s="4" t="inlineStr">
        <is>
          <t>제약사항</t>
        </is>
      </c>
      <c r="C28" s="4" t="inlineStr">
        <is>
          <t>규정의준수</t>
        </is>
      </c>
      <c r="D28" s="4" t="inlineStr">
        <is>
          <t>지식재산권 준수, 저작권 문제없는 저작물 구현</t>
        </is>
      </c>
      <c r="E28" s="4" t="inlineStr">
        <is>
          <t>운영 의존성 219개가 모두 허용형 라이선스(MIT·ISC·Apache-2.0·BSD 등, copyleft 없음) — dependency-licenses를 scripts/license-report.mjs가 만들고 --check로 다시 점검(log/139). 이미지·아이콘은 자체 제작</t>
        </is>
      </c>
    </row>
    <row r="30">
      <c r="A30" s="5" t="inlineStr">
        <is>
          <t>과업1·과업2·산출물</t>
        </is>
      </c>
    </row>
    <row r="31">
      <c r="A31" s="6" t="inlineStr">
        <is>
          <t>원본 항목</t>
        </is>
      </c>
      <c r="B31" s="6" t="inlineStr">
        <is>
          <t>위치</t>
        </is>
      </c>
      <c r="C31" s="6" t="inlineStr">
        <is>
          <t>대응 문서</t>
        </is>
      </c>
      <c r="D31" s="6" t="inlineStr">
        <is>
          <t>비고</t>
        </is>
      </c>
    </row>
    <row r="32">
      <c r="A32" s="4" t="inlineStr">
        <is>
          <t>과업1: 기업 구조 분석(지점현황·지역분포·근무자구조·조직도)</t>
        </is>
      </c>
      <c r="B32" s="4" t="inlineStr">
        <is>
          <t>p.3</t>
        </is>
      </c>
      <c r="C32" s="4" t="inlineStr">
        <is>
          <t>reference/기업구조및관리시스템분석.md §2</t>
        </is>
      </c>
      <c r="D32" s="4" t="inlineStr">
        <is>
          <t>기존 구현을 재확인 + 조직도 갭(지역관리자 계층) 진단</t>
        </is>
      </c>
    </row>
    <row r="33">
      <c r="A33" s="4" t="inlineStr">
        <is>
          <t>과업1: 관리시스템 분석(인적/물적자원 관리 현황 등)</t>
        </is>
      </c>
      <c r="B33" s="4" t="inlineStr">
        <is>
          <t>p.3</t>
        </is>
      </c>
      <c r="C33" s="4" t="inlineStr">
        <is>
          <t>reference/기업구조및관리시스템분석.md §3</t>
        </is>
      </c>
      <c r="D33" s="4" t="inlineStr">
        <is>
          <t>"물적자원 관리"가 설계에 없던 공백이었음을 확인 — 자원문서관리 부록 A에서 신규 설계</t>
        </is>
      </c>
    </row>
    <row r="34">
      <c r="A34" s="4" t="inlineStr">
        <is>
          <t>산출물2: 기업 분석 자료 — 기업 경영/관리 현황 분석(20p+)</t>
        </is>
      </c>
      <c r="B34" s="4" t="inlineStr">
        <is>
          <t>p.7</t>
        </is>
      </c>
      <c r="C34" s="4" t="inlineStr">
        <is>
          <t>기업구조및관리시스템분석 전체</t>
        </is>
      </c>
      <c r="D34" s="4" t="inlineStr">
        <is>
          <t>실무 밀도로 신규 작성. 제출본은 deliverables/기업분석및제안서.docx</t>
        </is>
      </c>
    </row>
    <row r="35">
      <c r="A35" s="4" t="inlineStr">
        <is>
          <t>산출물2: 어플 도입 후 기대효과 분석(30p+, 매출·계약 증가율 예측)</t>
        </is>
      </c>
      <c r="B35" s="4" t="inlineStr">
        <is>
          <t>p.7</t>
        </is>
      </c>
      <c r="C35" s="4" t="inlineStr">
        <is>
          <t>미대응</t>
        </is>
      </c>
      <c r="D35" s="4" t="inlineStr">
        <is>
          <t>실제 매출·계약 데이터가 없는 포트폴리오 프로젝트에서 수치 예측은 허구 생성이라 판단해 의도적으로 범위 제외. 측정 방법론만 제시하는 대안도 같은 이유로 기각(차별화전략 §2-1)</t>
        </is>
      </c>
    </row>
    <row r="36">
      <c r="A36" s="4" t="inlineStr">
        <is>
          <t>산출물2: 유사기업 직원 매뉴얼 형태·현황 분석(30p+)</t>
        </is>
      </c>
      <c r="B36" s="4" t="inlineStr">
        <is>
          <t>p.7</t>
        </is>
      </c>
      <c r="C36" s="4" t="inlineStr">
        <is>
          <t>미대응</t>
        </is>
      </c>
      <c r="D36" s="4" t="inlineStr">
        <is>
          <t>벤치마킹 대상 기업 접근 권한이 없는 1인 개발 조건상 수행 불가, 실무 조사(재물조사·전자결재 관행)로 대체 흡수</t>
        </is>
      </c>
    </row>
    <row r="37">
      <c r="A37" s="4" t="inlineStr">
        <is>
          <t>과업2: 유사 기업체 관리 시스템 현황 분석</t>
        </is>
      </c>
      <c r="B37" s="4" t="inlineStr">
        <is>
          <t>p.3</t>
        </is>
      </c>
      <c r="C37" s="4" t="inlineStr">
        <is>
          <t>미대응</t>
        </is>
      </c>
      <c r="D37" s="4" t="inlineStr">
        <is>
          <t>위와 동일 사유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12" customWidth="1" min="4" max="4"/>
    <col width="7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RFP 조항별 충족 판정</t>
        </is>
      </c>
    </row>
    <row r="2">
      <c r="A2" s="2" t="inlineStr">
        <is>
          <t>원문 글머리(•) 하나를 한 조항으로 판정. 원천: docs/reference/요구사항추적표.md §3</t>
        </is>
      </c>
    </row>
    <row r="4">
      <c r="A4" s="5" t="inlineStr">
        <is>
          <t>집계 — 충족률은 (구현+조정) / (전체−해당 없음), 뒤 값은 부분까지 포함</t>
        </is>
      </c>
    </row>
    <row r="5">
      <c r="A5" s="6" t="inlineStr">
        <is>
          <t>범위</t>
        </is>
      </c>
      <c r="B5" s="6" t="inlineStr">
        <is>
          <t>조항</t>
        </is>
      </c>
      <c r="C5" s="6" t="inlineStr">
        <is>
          <t>구현</t>
        </is>
      </c>
      <c r="D5" s="6" t="inlineStr">
        <is>
          <t>조정</t>
        </is>
      </c>
      <c r="E5" s="6" t="inlineStr">
        <is>
          <t>부분</t>
        </is>
      </c>
      <c r="F5" s="6" t="inlineStr">
        <is>
          <t>미구현</t>
        </is>
      </c>
      <c r="G5" s="6" t="inlineStr">
        <is>
          <t>해당 없음</t>
        </is>
      </c>
      <c r="H5" s="6" t="inlineStr">
        <is>
          <t>충족률</t>
        </is>
      </c>
    </row>
    <row r="6">
      <c r="A6" s="4" t="inlineStr">
        <is>
          <t>기능·성능(p.5)</t>
        </is>
      </c>
      <c r="B6" s="4" t="inlineStr">
        <is>
          <t>29</t>
        </is>
      </c>
      <c r="C6" s="4" t="inlineStr">
        <is>
          <t>22</t>
        </is>
      </c>
      <c r="D6" s="4" t="inlineStr">
        <is>
          <t>3</t>
        </is>
      </c>
      <c r="E6" s="4" t="inlineStr">
        <is>
          <t>3</t>
        </is>
      </c>
      <c r="F6" s="4" t="inlineStr">
        <is>
          <t>0</t>
        </is>
      </c>
      <c r="G6" s="4" t="inlineStr">
        <is>
          <t>1</t>
        </is>
      </c>
      <c r="H6" s="4" t="inlineStr">
        <is>
          <t>25/28 = 89% / 100%</t>
        </is>
      </c>
    </row>
    <row r="7">
      <c r="A7" s="4" t="inlineStr">
        <is>
          <t>시스템~제약(p.6)</t>
        </is>
      </c>
      <c r="B7" s="4" t="inlineStr">
        <is>
          <t>25</t>
        </is>
      </c>
      <c r="C7" s="4" t="inlineStr">
        <is>
          <t>15</t>
        </is>
      </c>
      <c r="D7" s="4" t="inlineStr">
        <is>
          <t>1</t>
        </is>
      </c>
      <c r="E7" s="4" t="inlineStr">
        <is>
          <t>3</t>
        </is>
      </c>
      <c r="F7" s="4" t="inlineStr">
        <is>
          <t>0</t>
        </is>
      </c>
      <c r="G7" s="4" t="inlineStr">
        <is>
          <t>6</t>
        </is>
      </c>
      <c r="H7" s="4" t="inlineStr">
        <is>
          <t>16/19 = 84% / 100%</t>
        </is>
      </c>
    </row>
    <row r="8">
      <c r="A8" s="4" t="inlineStr">
        <is>
          <t>과업·산출물·개념도</t>
        </is>
      </c>
      <c r="B8" s="4" t="inlineStr">
        <is>
          <t>18</t>
        </is>
      </c>
      <c r="C8" s="4" t="inlineStr">
        <is>
          <t>8</t>
        </is>
      </c>
      <c r="D8" s="4" t="inlineStr">
        <is>
          <t>2</t>
        </is>
      </c>
      <c r="E8" s="4" t="inlineStr">
        <is>
          <t>4</t>
        </is>
      </c>
      <c r="F8" s="4" t="inlineStr">
        <is>
          <t>3</t>
        </is>
      </c>
      <c r="G8" s="4" t="inlineStr">
        <is>
          <t>1</t>
        </is>
      </c>
      <c r="H8" s="4" t="inlineStr">
        <is>
          <t>10/17 = 59% / 82%</t>
        </is>
      </c>
    </row>
    <row r="9">
      <c r="A9" s="4" t="inlineStr">
        <is>
          <t>전체</t>
        </is>
      </c>
      <c r="B9" s="4" t="inlineStr">
        <is>
          <t>72</t>
        </is>
      </c>
      <c r="C9" s="4" t="inlineStr">
        <is>
          <t>45</t>
        </is>
      </c>
      <c r="D9" s="4" t="inlineStr">
        <is>
          <t>6</t>
        </is>
      </c>
      <c r="E9" s="4" t="inlineStr">
        <is>
          <t>10</t>
        </is>
      </c>
      <c r="F9" s="4" t="inlineStr">
        <is>
          <t>3</t>
        </is>
      </c>
      <c r="G9" s="4" t="inlineStr">
        <is>
          <t>8</t>
        </is>
      </c>
      <c r="H9" s="4" t="inlineStr">
        <is>
          <t>51/64 = 80% / 95%</t>
        </is>
      </c>
    </row>
    <row r="11">
      <c r="A11" s="3" t="inlineStr">
        <is>
          <t>구현</t>
        </is>
      </c>
      <c r="B11" s="4" t="inlineStr">
        <is>
          <t>조항이 말한 것을 그대로 했다</t>
        </is>
      </c>
    </row>
    <row r="12">
      <c r="A12" s="3" t="inlineStr">
        <is>
          <t>조정</t>
        </is>
      </c>
      <c r="B12" s="4" t="inlineStr">
        <is>
          <t>결과는 냈지만 방식을 바꿨고 근거 결정이 있다</t>
        </is>
      </c>
    </row>
    <row r="13">
      <c r="A13" s="3" t="inlineStr">
        <is>
          <t>부분</t>
        </is>
      </c>
      <c r="B13" s="4" t="inlineStr">
        <is>
          <t>일부만 했다 — 빠진 부분은 미구현 시트</t>
        </is>
      </c>
    </row>
    <row r="14">
      <c r="A14" s="3" t="inlineStr">
        <is>
          <t>미구현</t>
        </is>
      </c>
      <c r="B14" s="4" t="inlineStr">
        <is>
          <t>하지 않았다(의도적 제외 포함 — 비고에 사유)</t>
        </is>
      </c>
    </row>
    <row r="15">
      <c r="A15" s="3" t="inlineStr">
        <is>
          <t>해당 없음</t>
        </is>
      </c>
      <c r="B15" s="4" t="inlineStr">
        <is>
          <t>발주기관·계약·대면 행위처럼 대상이 없다 — 분모에서 뺀다</t>
        </is>
      </c>
    </row>
    <row r="17">
      <c r="A17" s="6" t="inlineStr">
        <is>
          <t>ID</t>
        </is>
      </c>
      <c r="B17" s="6" t="inlineStr">
        <is>
          <t>RFP</t>
        </is>
      </c>
      <c r="C17" s="6" t="inlineStr">
        <is>
          <t>조항(원문)</t>
        </is>
      </c>
      <c r="D17" s="6" t="inlineStr">
        <is>
          <t>판정</t>
        </is>
      </c>
      <c r="E17" s="6" t="inlineStr">
        <is>
          <t>근거·비고</t>
        </is>
      </c>
    </row>
    <row r="18">
      <c r="A18" s="4" t="inlineStr">
        <is>
          <t>F1-1</t>
        </is>
      </c>
      <c r="B18" s="4" t="inlineStr">
        <is>
          <t>권한관리</t>
        </is>
      </c>
      <c r="C18" s="4" t="inlineStr">
        <is>
          <t>권한관리 기능은 관리자 계정에만 부여</t>
        </is>
      </c>
      <c r="D18" s="10" t="inlineStr">
        <is>
          <t>구현</t>
        </is>
      </c>
      <c r="E18" s="4" t="inlineStr">
        <is>
          <t>역할 전환 PATCH /permissions/staff/:staffId/role 본사만, 권한 관리 화면</t>
        </is>
      </c>
    </row>
    <row r="19">
      <c r="A19" s="4" t="inlineStr">
        <is>
          <t>F1-2</t>
        </is>
      </c>
      <c r="B19" s="4" t="inlineStr">
        <is>
          <t>권한관리</t>
        </is>
      </c>
      <c r="C19" s="4" t="inlineStr">
        <is>
          <t>사용자별·프로그램별 권한 설정(입력·수정·삭제·조회·출력)</t>
        </is>
      </c>
      <c r="D19" s="11" t="inlineStr">
        <is>
          <t>부분</t>
        </is>
      </c>
      <c r="E19" s="4" t="inlineStr">
        <is>
          <t>역할 4개 고정(D1). 출력은 CSV를 역할 기준으로(D54). 세부 권한 표 없음</t>
        </is>
      </c>
    </row>
    <row r="20">
      <c r="A20" s="4" t="inlineStr">
        <is>
          <t>F1-3</t>
        </is>
      </c>
      <c r="B20" s="4" t="inlineStr">
        <is>
          <t>권한관리</t>
        </is>
      </c>
      <c r="C20" s="4" t="inlineStr">
        <is>
          <t>본사-현장, 현장-이용자 간 별도 권한 관리</t>
        </is>
      </c>
      <c r="D20" s="10" t="inlineStr">
        <is>
          <t>구현</t>
        </is>
      </c>
      <c r="E20" s="4" t="inlineStr">
        <is>
          <t>SUPER_ADMIN·BRANCH_ADMIN·STAFF·MEMBER, 전역 지점 격리 가드(D46) — branch-isolation·branch-scope-coverage</t>
        </is>
      </c>
    </row>
    <row r="21">
      <c r="A21" s="4" t="inlineStr">
        <is>
          <t>F1-4</t>
        </is>
      </c>
      <c r="B21" s="4" t="inlineStr">
        <is>
          <t>권한관리</t>
        </is>
      </c>
      <c r="C21" s="4" t="inlineStr">
        <is>
          <t>사용자 편의성·확장성·운영성 고려</t>
        </is>
      </c>
      <c r="D21" s="10" t="inlineStr">
        <is>
          <t>구현</t>
        </is>
      </c>
      <c r="E21" s="4" t="inlineStr">
        <is>
          <t>격리 검사를 가드 한 곳에 모으고 선언 누락을 테스트가 잡는다(D46)</t>
        </is>
      </c>
    </row>
    <row r="22">
      <c r="A22" s="4" t="inlineStr">
        <is>
          <t>F1-5</t>
        </is>
      </c>
      <c r="B22" s="4" t="inlineStr">
        <is>
          <t>권한관리</t>
        </is>
      </c>
      <c r="C22" s="4" t="inlineStr">
        <is>
          <t>퇴사 처리 이후 시스템 접근 통제</t>
        </is>
      </c>
      <c r="D22" s="10" t="inlineStr">
        <is>
          <t>구현</t>
        </is>
      </c>
      <c r="E22" s="4" t="inlineStr">
        <is>
          <t>퇴사 시 계정 비활성화·토큰 폐기 — auth-lifecycle·staff-write</t>
        </is>
      </c>
    </row>
    <row r="23">
      <c r="A23" s="4" t="inlineStr">
        <is>
          <t>F2-1</t>
        </is>
      </c>
      <c r="B23" s="4" t="inlineStr">
        <is>
          <t>인사정보관리</t>
        </is>
      </c>
      <c r="C23" s="4" t="inlineStr">
        <is>
          <t>현장(지점)별 인사관리 탭, 코드 생성</t>
        </is>
      </c>
      <c r="D23" s="10" t="inlineStr">
        <is>
          <t>구현</t>
        </is>
      </c>
      <c r="E23" s="4" t="inlineStr">
        <is>
          <t>직원 목록 지점별 그룹, 직원코드 자동 채번</t>
        </is>
      </c>
    </row>
    <row r="24">
      <c r="A24" s="4" t="inlineStr">
        <is>
          <t>F2-2</t>
        </is>
      </c>
      <c r="B24" s="4" t="inlineStr">
        <is>
          <t>인사정보관리</t>
        </is>
      </c>
      <c r="C24" s="4" t="inlineStr">
        <is>
          <t>모든 인사기록 정보를 한 화면에서 조회</t>
        </is>
      </c>
      <c r="D24" s="10" t="inlineStr">
        <is>
          <t>구현</t>
        </is>
      </c>
      <c r="E24" s="4" t="inlineStr">
        <is>
          <t>직원 상세(파견·근태·휴가·업무일지·인사서류, log/116)</t>
        </is>
      </c>
    </row>
    <row r="25">
      <c r="A25" s="4" t="inlineStr">
        <is>
          <t>F2-3</t>
        </is>
      </c>
      <c r="B25" s="4" t="inlineStr">
        <is>
          <t>인사정보관리</t>
        </is>
      </c>
      <c r="C25" s="4" t="inlineStr">
        <is>
          <t>권한부여 혹은 승인 시 수정 가능</t>
        </is>
      </c>
      <c r="D25" s="10" t="inlineStr">
        <is>
          <t>구현</t>
        </is>
      </c>
      <c r="E25" s="4" t="inlineStr">
        <is>
          <t>인사 변경 신청 → 지점 관리자 승인(ADR-STF-09), 변경 이력에 기록</t>
        </is>
      </c>
    </row>
    <row r="26">
      <c r="A26" s="4" t="inlineStr">
        <is>
          <t>F3-1</t>
        </is>
      </c>
      <c r="B26" s="4" t="inlineStr">
        <is>
          <t>근태관리</t>
        </is>
      </c>
      <c r="C26" s="4" t="inlineStr">
        <is>
          <t>현장별 &gt; 개인별 근태 등록 관리</t>
        </is>
      </c>
      <c r="D26" s="10" t="inlineStr">
        <is>
          <t>구현</t>
        </is>
      </c>
      <c r="E26" s="4" t="inlineStr">
        <is>
          <t>출퇴근, 관리자 정정·누락일 등록(ADR-ATT-04), 본사 근태 현황</t>
        </is>
      </c>
    </row>
    <row r="27">
      <c r="A27" s="4" t="inlineStr">
        <is>
          <t>F3-2</t>
        </is>
      </c>
      <c r="B27" s="4" t="inlineStr">
        <is>
          <t>근태관리</t>
        </is>
      </c>
      <c r="C27" s="4" t="inlineStr">
        <is>
          <t>휴무·연차·병가 등 기록 및 일수 관리</t>
        </is>
      </c>
      <c r="D27" s="10" t="inlineStr">
        <is>
          <t>구현</t>
        </is>
      </c>
      <c r="E27" s="4" t="inlineStr">
        <is>
          <t>유형별 휴가 신청·승인·기간 일수, 연차 잔여, 올해 유형별 사용 일수(log/137) — attendance-rules</t>
        </is>
      </c>
    </row>
    <row r="28">
      <c r="A28" s="4" t="inlineStr">
        <is>
          <t>F3-3</t>
        </is>
      </c>
      <c r="B28" s="4" t="inlineStr">
        <is>
          <t>근태관리</t>
        </is>
      </c>
      <c r="C28" s="4" t="inlineStr">
        <is>
          <t>업무일지 작성 관리</t>
        </is>
      </c>
      <c r="D28" s="10" t="inlineStr">
        <is>
          <t>구현</t>
        </is>
      </c>
      <c r="E28" s="4" t="inlineStr">
        <is>
          <t>작성(하루 1건), 관리자 열람(log/112)</t>
        </is>
      </c>
    </row>
    <row r="29">
      <c r="A29" s="4" t="inlineStr">
        <is>
          <t>F4-1</t>
        </is>
      </c>
      <c r="B29" s="4" t="inlineStr">
        <is>
          <t>게시판</t>
        </is>
      </c>
      <c r="C29" s="4" t="inlineStr">
        <is>
          <t>본사→현장 / 현장→이용자 게시판 별도 생성</t>
        </is>
      </c>
      <c r="D29" s="10" t="inlineStr">
        <is>
          <t>구현</t>
        </is>
      </c>
      <c r="E29" s="4" t="inlineStr">
        <is>
          <t>게시 범위별 권한·회원 공개 필터 — post-rules·posts-member-visibility</t>
        </is>
      </c>
    </row>
    <row r="30">
      <c r="A30" s="4" t="inlineStr">
        <is>
          <t>F4-2</t>
        </is>
      </c>
      <c r="B30" s="4" t="inlineStr">
        <is>
          <t>게시판</t>
        </is>
      </c>
      <c r="C30" s="4" t="inlineStr">
        <is>
          <t>본사→현장 직원관리 탭에 교육 매뉴얼·자료 탑재</t>
        </is>
      </c>
      <c r="D30" s="10" t="inlineStr">
        <is>
          <t>구현</t>
        </is>
      </c>
      <c r="E30" s="4" t="inlineStr">
        <is>
          <t>"직원 교육자료" 탭, 첨부(ADR-BRD-04). 배포 저장소의 실제 파일은 검증 전</t>
        </is>
      </c>
    </row>
    <row r="31">
      <c r="A31" s="4" t="inlineStr">
        <is>
          <t>F4-3</t>
        </is>
      </c>
      <c r="B31" s="4" t="inlineStr">
        <is>
          <t>게시판</t>
        </is>
      </c>
      <c r="C31" s="4" t="inlineStr">
        <is>
          <t>현장→이용자 각 시설에 대한 공지 글·이미지 작성</t>
        </is>
      </c>
      <c r="D31" s="11" t="inlineStr">
        <is>
          <t>부분</t>
        </is>
      </c>
      <c r="E31" s="4" t="inlineStr">
        <is>
          <t>지점 공지 글·이미지(회원 웹 본문 아래 표시, log/137)는 됨. 시설 지정 없음</t>
        </is>
      </c>
    </row>
    <row r="32">
      <c r="A32" s="4" t="inlineStr">
        <is>
          <t>F5-1</t>
        </is>
      </c>
      <c r="B32" s="4" t="inlineStr">
        <is>
          <t>회원관리</t>
        </is>
      </c>
      <c r="C32" s="4" t="inlineStr">
        <is>
          <t>회원 인적사항·수강내역·예약및결제내역·PT 잔여 세션 기록</t>
        </is>
      </c>
      <c r="D32" s="10" t="inlineStr">
        <is>
          <t>구현</t>
        </is>
      </c>
      <c r="E32" s="4" t="inlineStr">
        <is>
          <t>회원 상세 탭 — member-detail-summary</t>
        </is>
      </c>
    </row>
    <row r="33">
      <c r="A33" s="4" t="inlineStr">
        <is>
          <t>F5-2</t>
        </is>
      </c>
      <c r="B33" s="4" t="inlineStr">
        <is>
          <t>회원관리</t>
        </is>
      </c>
      <c r="C33" s="4" t="inlineStr">
        <is>
          <t>현장 관리자는 해당 현장 회원 정보만(타현장 조회 불가)</t>
        </is>
      </c>
      <c r="D33" s="10" t="inlineStr">
        <is>
          <t>구현</t>
        </is>
      </c>
      <c r="E33" s="4" t="inlineStr">
        <is>
          <t>전역 가드(D2·D46) — branch-isolation 공격 케이스 표</t>
        </is>
      </c>
    </row>
    <row r="34">
      <c r="A34" s="4" t="inlineStr">
        <is>
          <t>F6-1</t>
        </is>
      </c>
      <c r="B34" s="4" t="inlineStr">
        <is>
          <t>예약및결제</t>
        </is>
      </c>
      <c r="C34" s="4" t="inlineStr">
        <is>
          <t>무/유료 프로그램 게시 후 프로그램별 예약, 모바일 결제</t>
        </is>
      </c>
      <c r="D34" s="10" t="inlineStr">
        <is>
          <t>조정</t>
        </is>
      </c>
      <c r="E34" s="4" t="inlineStr">
        <is>
          <t>모의 결제(D5·D6), 회원 모바일 웹(D41) — reservation-capacity·catalog-flow</t>
        </is>
      </c>
    </row>
    <row r="35">
      <c r="A35" s="4" t="inlineStr">
        <is>
          <t>F6-2</t>
        </is>
      </c>
      <c r="B35" s="4" t="inlineStr">
        <is>
          <t>예약및결제</t>
        </is>
      </c>
      <c r="C35" s="4" t="inlineStr">
        <is>
          <t>결제내역 처리 방법 추후 논의</t>
        </is>
      </c>
      <c r="D35" s="9" t="inlineStr">
        <is>
          <t>해당 없음</t>
        </is>
      </c>
      <c r="E35" s="4" t="inlineStr">
        <is>
          <t>원문이 미확정. 결제 내역 조회·CSV는 있다</t>
        </is>
      </c>
    </row>
    <row r="36">
      <c r="A36" s="4" t="inlineStr">
        <is>
          <t>F7-1</t>
        </is>
      </c>
      <c r="B36" s="4" t="inlineStr">
        <is>
          <t>강사,프로그램게시</t>
        </is>
      </c>
      <c r="C36" s="4" t="inlineStr">
        <is>
          <t>각 현장 종목별 강사·프로그램 정보 게시</t>
        </is>
      </c>
      <c r="D36" s="10" t="inlineStr">
        <is>
          <t>구현</t>
        </is>
      </c>
      <c r="E36" s="4" t="inlineStr">
        <is>
          <t>강사·프로그램 관리, 회원 웹 회차 화면의 강사 소개(log/114)</t>
        </is>
      </c>
    </row>
    <row r="37">
      <c r="A37" s="4" t="inlineStr">
        <is>
          <t>F7-2</t>
        </is>
      </c>
      <c r="B37" s="4" t="inlineStr">
        <is>
          <t>강사,프로그램게시</t>
        </is>
      </c>
      <c r="C37" s="4" t="inlineStr">
        <is>
          <t>종목별·시간대별·연령대별 프로그램 리스트</t>
        </is>
      </c>
      <c r="D37" s="10" t="inlineStr">
        <is>
          <t>구현</t>
        </is>
      </c>
      <c r="E37" s="4" t="inlineStr">
        <is>
          <t>두 앱 필터(ADR-PRG-04)</t>
        </is>
      </c>
    </row>
    <row r="38">
      <c r="A38" s="4" t="inlineStr">
        <is>
          <t>F8-1</t>
        </is>
      </c>
      <c r="B38" s="4" t="inlineStr">
        <is>
          <t>혼잡도관리</t>
        </is>
      </c>
      <c r="C38" s="4" t="inlineStr">
        <is>
          <t>시설별 이용현황·혼잡도 5단계 게시</t>
        </is>
      </c>
      <c r="D38" s="10" t="inlineStr">
        <is>
          <t>구현</t>
        </is>
      </c>
      <c r="E38" s="4" t="inlineStr">
        <is>
          <t>정원 기준 5단계 자동 판정, 회원 웹 홈 — facility-lifecycle</t>
        </is>
      </c>
    </row>
    <row r="39">
      <c r="A39" s="4" t="inlineStr">
        <is>
          <t>F8-2</t>
        </is>
      </c>
      <c r="B39" s="4" t="inlineStr">
        <is>
          <t>혼잡도관리</t>
        </is>
      </c>
      <c r="C39" s="4" t="inlineStr">
        <is>
          <t>실시간 혹은 최대 30분 이내 반영</t>
        </is>
      </c>
      <c r="D39" s="10" t="inlineStr">
        <is>
          <t>조정</t>
        </is>
      </c>
      <c r="E39" s="4" t="inlineStr">
        <is>
          <t>수동 입력 즉시 반영 + 30분 경과 경고(D10, log/114). 자동 계측은 범위 제외</t>
        </is>
      </c>
    </row>
    <row r="40">
      <c r="A40" s="4" t="inlineStr">
        <is>
          <t>F10-1</t>
        </is>
      </c>
      <c r="B40" s="4" t="inlineStr">
        <is>
          <t>시스템가용성</t>
        </is>
      </c>
      <c r="C40" s="4" t="inlineStr">
        <is>
          <t>CPU 평균 사용률 90% 이하</t>
        </is>
      </c>
      <c r="D40" s="10" t="inlineStr">
        <is>
          <t>조정</t>
        </is>
      </c>
      <c r="E40" s="4" t="inlineStr">
        <is>
          <t>요청마다 독립 실행 환경 + 동시 실행 상한 10(D37·D42). CPU 대신 처리 시간을 측정(D50)</t>
        </is>
      </c>
    </row>
    <row r="41">
      <c r="A41" s="4" t="inlineStr">
        <is>
          <t>F10-2</t>
        </is>
      </c>
      <c r="B41" s="4" t="inlineStr">
        <is>
          <t>시스템가용성</t>
        </is>
      </c>
      <c r="C41" s="4" t="inlineStr">
        <is>
          <t>메모리 평균 사용률 85% 이하</t>
        </is>
      </c>
      <c r="D41" s="11" t="inlineStr">
        <is>
          <t>부분</t>
        </is>
      </c>
      <c r="E41" s="4" t="inlineStr">
        <is>
          <t>경보 절차만(aws-lambda/README §6), 콘솔 미적용</t>
        </is>
      </c>
    </row>
    <row r="42">
      <c r="A42" s="4" t="inlineStr">
        <is>
          <t>F10-3</t>
        </is>
      </c>
      <c r="B42" s="4" t="inlineStr">
        <is>
          <t>시스템가용성</t>
        </is>
      </c>
      <c r="C42" s="4" t="inlineStr">
        <is>
          <t>이용자 수 증가에 따른 운용 안정성 확보</t>
        </is>
      </c>
      <c r="D42" s="10" t="inlineStr">
        <is>
          <t>구현</t>
        </is>
      </c>
      <c r="E42" s="4" t="inlineStr">
        <is>
          <t>무상태 Lambda·동시 실행 상한·503 안내·Worker rate limit(D37·D42). 순간 몰림 거절 원인은 미확인</t>
        </is>
      </c>
    </row>
    <row r="43">
      <c r="A43" s="4" t="inlineStr">
        <is>
          <t>F10-4</t>
        </is>
      </c>
      <c r="B43" s="4" t="inlineStr">
        <is>
          <t>시스템가용성</t>
        </is>
      </c>
      <c r="C43" s="4" t="inlineStr">
        <is>
          <t>빈도 높은·중요 기능의 운영 환경 성능 시험</t>
        </is>
      </c>
      <c r="D43" s="10" t="inlineStr">
        <is>
          <t>구현</t>
        </is>
      </c>
      <c r="E43" s="4" t="inlineStr">
        <is>
          <t>운영 k6 측정(log/056·109)</t>
        </is>
      </c>
    </row>
    <row r="44">
      <c r="A44" s="4" t="inlineStr">
        <is>
          <t>F10-5</t>
        </is>
      </c>
      <c r="B44" s="4" t="inlineStr">
        <is>
          <t>시스템가용성</t>
        </is>
      </c>
      <c r="C44" s="4" t="inlineStr">
        <is>
          <t>과부하에 따른 안정성 사전 점검</t>
        </is>
      </c>
      <c r="D44" s="10" t="inlineStr">
        <is>
          <t>구현</t>
        </is>
      </c>
      <c r="E44" s="4" t="inlineStr">
        <is>
          <t>과부하 300 rps 시나리오(D42·D50)</t>
        </is>
      </c>
    </row>
    <row r="45">
      <c r="A45" s="4" t="inlineStr">
        <is>
          <t>F11-1</t>
        </is>
      </c>
      <c r="B45" s="4" t="inlineStr">
        <is>
          <t>시스템성능</t>
        </is>
      </c>
      <c r="C45" s="4" t="inlineStr">
        <is>
          <t>성능 진단 도구로 정확한 성능 진단</t>
        </is>
      </c>
      <c r="D45" s="10" t="inlineStr">
        <is>
          <t>구현</t>
        </is>
      </c>
      <c r="E45" s="4" t="inlineStr">
        <is>
          <t>k6(loadtest/), 처리 시간 원인 측정(D48)</t>
        </is>
      </c>
    </row>
    <row r="46">
      <c r="A46" s="4" t="inlineStr">
        <is>
          <t>F11-2</t>
        </is>
      </c>
      <c r="B46" s="4" t="inlineStr">
        <is>
          <t>시스템성능</t>
        </is>
      </c>
      <c r="C46" s="4" t="inlineStr">
        <is>
          <t>처리 속도가 느린 작업은 사용자에게 사전 알림</t>
        </is>
      </c>
      <c r="D46" s="10" t="inlineStr">
        <is>
          <t>구현</t>
        </is>
      </c>
      <c r="E46" s="4" t="inlineStr">
        <is>
          <t>3초 안내·15초 재시도 제안(D55)</t>
        </is>
      </c>
    </row>
    <row r="47">
      <c r="A47" s="4" t="inlineStr">
        <is>
          <t>N1-1</t>
        </is>
      </c>
      <c r="B47" s="4" t="inlineStr">
        <is>
          <t>시스템도입</t>
        </is>
      </c>
      <c r="C47" s="4" t="inlineStr">
        <is>
          <t>최종 도입 전 사전 이용 테스트 후 총괄담당자 승인</t>
        </is>
      </c>
      <c r="D47" s="9" t="inlineStr">
        <is>
          <t>해당 없음</t>
        </is>
      </c>
      <c r="E47" s="4" t="inlineStr">
        <is>
          <t>발주기관 없음</t>
        </is>
      </c>
    </row>
    <row r="48">
      <c r="A48" s="4" t="inlineStr">
        <is>
          <t>N1-2</t>
        </is>
      </c>
      <c r="B48" s="4" t="inlineStr">
        <is>
          <t>시스템도입</t>
        </is>
      </c>
      <c r="C48" s="4" t="inlineStr">
        <is>
          <t>기업 승인 후 납품·설치, 설치 단계별 작업계획서</t>
        </is>
      </c>
      <c r="D48" s="9" t="inlineStr">
        <is>
          <t>해당 없음</t>
        </is>
      </c>
      <c r="E48" s="4" t="inlineStr">
        <is>
          <t>발주기관 없음. 배포 절차는 aws-lambda/README</t>
        </is>
      </c>
    </row>
    <row r="49">
      <c r="A49" s="4" t="inlineStr">
        <is>
          <t>N2-1</t>
        </is>
      </c>
      <c r="B49" s="4" t="inlineStr">
        <is>
          <t>설치및운영</t>
        </is>
      </c>
      <c r="C49" s="4" t="inlineStr">
        <is>
          <t>소프트웨어 개발보안 준수</t>
        </is>
      </c>
      <c r="D49" s="10" t="inlineStr">
        <is>
          <t>구현</t>
        </is>
      </c>
      <c r="E49" s="4" t="inlineStr">
        <is>
          <t>행안부 구현단계 보안약점 49개 점검표(secure-coding-checklist — 대응 34·부분 4·해당 없음 11), 남은 조치 4건 표로 관리, 점검 중 찾은 XSS 수정(document-rules)</t>
        </is>
      </c>
    </row>
    <row r="50">
      <c r="A50" s="4" t="inlineStr">
        <is>
          <t>N2-2</t>
        </is>
      </c>
      <c r="B50" s="4" t="inlineStr">
        <is>
          <t>설치및운영</t>
        </is>
      </c>
      <c r="C50" s="4" t="inlineStr">
        <is>
          <t>개발자·발주기관·전문가 검증</t>
        </is>
      </c>
      <c r="D50" s="9" t="inlineStr">
        <is>
          <t>해당 없음</t>
        </is>
      </c>
      <c r="E50" s="4" t="inlineStr">
        <is>
          <t>검증 주체 없음 — CI·커밋 전 hook으로 대체</t>
        </is>
      </c>
    </row>
    <row r="51">
      <c r="A51" s="4" t="inlineStr">
        <is>
          <t>N2-3</t>
        </is>
      </c>
      <c r="B51" s="4" t="inlineStr">
        <is>
          <t>설치및운영</t>
        </is>
      </c>
      <c r="C51" s="4" t="inlineStr">
        <is>
          <t>제조사 공급 및 기술지원 확약서</t>
        </is>
      </c>
      <c r="D51" s="9" t="inlineStr">
        <is>
          <t>해당 없음</t>
        </is>
      </c>
      <c r="E51" s="4" t="inlineStr">
        <is>
          <t>납품 계약 없음</t>
        </is>
      </c>
    </row>
    <row r="52">
      <c r="A52" s="4" t="inlineStr">
        <is>
          <t>N3-1</t>
        </is>
      </c>
      <c r="B52" s="4" t="inlineStr">
        <is>
          <t>데이터관리방안</t>
        </is>
      </c>
      <c r="C52" s="4" t="inlineStr">
        <is>
          <t>데이터 표준관리 방안과 변경 이력 관리 방안 제시·적용</t>
        </is>
      </c>
      <c r="D52" s="10" t="inlineStr">
        <is>
          <t>구현</t>
        </is>
      </c>
      <c r="E52" s="4" t="inlineStr">
        <is>
          <t>entities.md 단일 진실 공급원, DB 제약(D27·D28), AuditLog 9종(D44·D47·D52·ADR-STF-09)</t>
        </is>
      </c>
    </row>
    <row r="53">
      <c r="A53" s="4" t="inlineStr">
        <is>
          <t>N3-2</t>
        </is>
      </c>
      <c r="B53" s="4" t="inlineStr">
        <is>
          <t>데이터관리방안</t>
        </is>
      </c>
      <c r="C53" s="4" t="inlineStr">
        <is>
          <t>오류 데이터 진단 방안 및 개선 절차</t>
        </is>
      </c>
      <c r="D53" s="10" t="inlineStr">
        <is>
          <t>구현</t>
        </is>
      </c>
      <c r="E53" s="4" t="inlineStr">
        <is>
          <t>data-integrity §7 점검 SQL 9개</t>
        </is>
      </c>
    </row>
    <row r="54">
      <c r="A54" s="4" t="inlineStr">
        <is>
          <t>N4-1</t>
        </is>
      </c>
      <c r="B54" s="4" t="inlineStr">
        <is>
          <t>온라인도움말</t>
        </is>
      </c>
      <c r="C54" s="4" t="inlineStr">
        <is>
          <t>화면 내 기능 사용 순서 안내</t>
        </is>
      </c>
      <c r="D54" s="10" t="inlineStr">
        <is>
          <t>구현</t>
        </is>
      </c>
      <c r="E54" s="4" t="inlineStr">
        <is>
          <t>관리자 웹 도움말 패널(로그인 외 모든 화면), 회원 웹 이용 안내</t>
        </is>
      </c>
    </row>
    <row r="55">
      <c r="A55" s="4" t="inlineStr">
        <is>
          <t>N4-2</t>
        </is>
      </c>
      <c r="B55" s="4" t="inlineStr">
        <is>
          <t>온라인도움말</t>
        </is>
      </c>
      <c r="C55" s="4" t="inlineStr">
        <is>
          <t>오류 처리 사항과 해결 방법</t>
        </is>
      </c>
      <c r="D55" s="10" t="inlineStr">
        <is>
          <t>구현</t>
        </is>
      </c>
      <c r="E55" s="4" t="inlineStr">
        <is>
          <t>오류 문구 아래 "해결" 한 줄(lib/error-hints.ts)</t>
        </is>
      </c>
    </row>
    <row r="56">
      <c r="A56" s="4" t="inlineStr">
        <is>
          <t>N5-1</t>
        </is>
      </c>
      <c r="B56" s="4" t="inlineStr">
        <is>
          <t>상호작용메시지</t>
        </is>
      </c>
      <c r="C56" s="4" t="inlineStr">
        <is>
          <t>사용자-시스템 상호작용에 대한 확인 메시지</t>
        </is>
      </c>
      <c r="D56" s="10" t="inlineStr">
        <is>
          <t>구현</t>
        </is>
      </c>
      <c r="E56" s="4" t="inlineStr">
        <is>
          <t>공통 Toast·확인 창(디자인시스템 §5)</t>
        </is>
      </c>
    </row>
    <row r="57">
      <c r="A57" s="4" t="inlineStr">
        <is>
          <t>N6-1</t>
        </is>
      </c>
      <c r="B57" s="4" t="inlineStr">
        <is>
          <t>UI/UX</t>
        </is>
      </c>
      <c r="C57" s="4" t="inlineStr">
        <is>
          <t>전체 시스템에서 통일성 있는 UI</t>
        </is>
      </c>
      <c r="D57" s="10" t="inlineStr">
        <is>
          <t>구현</t>
        </is>
      </c>
      <c r="E57" s="4" t="inlineStr">
        <is>
          <t>디자인 토큰(D15), 디자인시스템 문서</t>
        </is>
      </c>
    </row>
    <row r="58">
      <c r="A58" s="4" t="inlineStr">
        <is>
          <t>N6-2</t>
        </is>
      </c>
      <c r="B58" s="4" t="inlineStr">
        <is>
          <t>UI/UX</t>
        </is>
      </c>
      <c r="C58" s="4" t="inlineStr">
        <is>
          <t>이용자 편의 우선의 직관적·간략한 UX</t>
        </is>
      </c>
      <c r="D58" s="10" t="inlineStr">
        <is>
          <t>구현</t>
        </is>
      </c>
      <c r="E58" s="4" t="inlineStr">
        <is>
          <t>역할별 화면 점검과 발견 14건 수정(log/125~130)</t>
        </is>
      </c>
    </row>
    <row r="59">
      <c r="A59" s="4" t="inlineStr">
        <is>
          <t>N6-3</t>
        </is>
      </c>
      <c r="B59" s="4" t="inlineStr">
        <is>
          <t>UI/UX</t>
        </is>
      </c>
      <c r="C59" s="4" t="inlineStr">
        <is>
          <t>페이지 위치 정보를 MAP 형태로 표시</t>
        </is>
      </c>
      <c r="D59" s="10" t="inlineStr">
        <is>
          <t>조정</t>
        </is>
      </c>
      <c r="E59" s="4" t="inlineStr">
        <is>
          <t>경로 표시로 해석(D51)</t>
        </is>
      </c>
    </row>
    <row r="60">
      <c r="A60" s="4" t="inlineStr">
        <is>
          <t>N6-4</t>
        </is>
      </c>
      <c r="B60" s="4" t="inlineStr">
        <is>
          <t>UI/UX</t>
        </is>
      </c>
      <c r="C60" s="4" t="inlineStr">
        <is>
          <t>권한에 따라 수정·삭제·조회 버튼 기능 제어</t>
        </is>
      </c>
      <c r="D60" s="10" t="inlineStr">
        <is>
          <t>구현</t>
        </is>
      </c>
      <c r="E60" s="4" t="inlineStr">
        <is>
          <t>역할별 메뉴·버튼 표시, 서버는 @Roles로 다시 거부</t>
        </is>
      </c>
    </row>
    <row r="61">
      <c r="A61" s="4" t="inlineStr">
        <is>
          <t>N6-5</t>
        </is>
      </c>
      <c r="B61" s="4" t="inlineStr">
        <is>
          <t>UI/UX</t>
        </is>
      </c>
      <c r="C61" s="4" t="inlineStr">
        <is>
          <t>필드 속성에 맞는 입력 언어 우선 적용, 입력창 크기 최적화</t>
        </is>
      </c>
      <c r="D61" s="10" t="inlineStr">
        <is>
          <t>구현</t>
        </is>
      </c>
      <c r="E61" s="4" t="inlineStr">
        <is>
          <t>두 앱 입력 103곳 점검 — 전화·숫자·이메일·URL에 type·inputMode·autoComplete, 서버 길이 제한이 있는 칸에 maxLength, 고정 폭 입력 없음·텍스트 영역 9개 모두 rows(log/137). 한글 자판을 강제하는 웹 표준은 없어 텍스트 칸은 기본값</t>
        </is>
      </c>
    </row>
    <row r="62">
      <c r="A62" s="4" t="inlineStr">
        <is>
          <t>N6-6</t>
        </is>
      </c>
      <c r="B62" s="4" t="inlineStr">
        <is>
          <t>UI/UX</t>
        </is>
      </c>
      <c r="C62" s="4" t="inlineStr">
        <is>
          <t>예약 관리를 달력·스케줄표 형태로 표시</t>
        </is>
      </c>
      <c r="D62" s="10" t="inlineStr">
        <is>
          <t>구현</t>
        </is>
      </c>
      <c r="E62" s="4" t="inlineStr">
        <is>
          <t>회원 웹 날짜 띠, 관리자 주간 시간표(ADR-RSV-06)</t>
        </is>
      </c>
    </row>
    <row r="63">
      <c r="A63" s="4" t="inlineStr">
        <is>
          <t>N7-1</t>
        </is>
      </c>
      <c r="B63" s="4" t="inlineStr">
        <is>
          <t>UI 보안</t>
        </is>
      </c>
      <c r="C63" s="4" t="inlineStr">
        <is>
          <t>인사·회원 개인정보가 별도 절차 없이 노출되지 않음</t>
        </is>
      </c>
      <c r="D63" s="10" t="inlineStr">
        <is>
          <t>구현</t>
        </is>
      </c>
      <c r="E63" s="4" t="inlineStr">
        <is>
          <t>목록 마스킹(ADR-MEM-04), 상세 열람 기록(D47)</t>
        </is>
      </c>
    </row>
    <row r="64">
      <c r="A64" s="4" t="inlineStr">
        <is>
          <t>N7-2</t>
        </is>
      </c>
      <c r="B64" s="4" t="inlineStr">
        <is>
          <t>UI 보안</t>
        </is>
      </c>
      <c r="C64" s="4" t="inlineStr">
        <is>
          <t>권한에 의한 접근 통제 — 그룹별·개인별·기능별</t>
        </is>
      </c>
      <c r="D64" s="11" t="inlineStr">
        <is>
          <t>부분</t>
        </is>
      </c>
      <c r="E64" s="4" t="inlineStr">
        <is>
          <t>역할·지점 단위까지만(D1)</t>
        </is>
      </c>
    </row>
    <row r="65">
      <c r="A65" s="4" t="inlineStr">
        <is>
          <t>N7-3</t>
        </is>
      </c>
      <c r="B65" s="4" t="inlineStr">
        <is>
          <t>UI 보안</t>
        </is>
      </c>
      <c r="C65" s="4" t="inlineStr">
        <is>
          <t>결제 시스템의 금융·보안기관 연계 가능 여부 확인</t>
        </is>
      </c>
      <c r="D65" s="11" t="inlineStr">
        <is>
          <t>부분</t>
        </is>
      </c>
      <c r="E65" s="4" t="inlineStr">
        <is>
          <t>결제 어댑터 설계만(ADR-RSV-03)</t>
        </is>
      </c>
    </row>
    <row r="66">
      <c r="A66" s="4" t="inlineStr">
        <is>
          <t>N8-1</t>
        </is>
      </c>
      <c r="B66" s="4" t="inlineStr">
        <is>
          <t>보안요건</t>
        </is>
      </c>
      <c r="C66" s="4" t="inlineStr">
        <is>
          <t>인원·문서·장비 보안관리계획 수립</t>
        </is>
      </c>
      <c r="D66" s="10" t="inlineStr">
        <is>
          <t>구현</t>
        </is>
      </c>
      <c r="E66" s="4" t="inlineStr">
        <is>
          <t>security-plan — 인원·문서·장비·비밀값·운영 보호·위탁, 지금 약점 9건과 조치 계획</t>
        </is>
      </c>
    </row>
    <row r="67">
      <c r="A67" s="4" t="inlineStr">
        <is>
          <t>N8-2</t>
        </is>
      </c>
      <c r="B67" s="4" t="inlineStr">
        <is>
          <t>보안요건</t>
        </is>
      </c>
      <c r="C67" s="4" t="inlineStr">
        <is>
          <t>개인정보보호법 제26조(업무위탁) 준수</t>
        </is>
      </c>
      <c r="D67" s="11" t="inlineStr">
        <is>
          <t>부분</t>
        </is>
      </c>
      <c r="E67" s="4" t="inlineStr">
        <is>
          <t>처리방침 초안의 위탁 고지(D51), 수탁자·업무·위치 표(security-plan §7). 위탁 계약 문서 보관·수탁자 감독 기록은 없음(실데이터 운영 전 조치)</t>
        </is>
      </c>
    </row>
    <row r="68">
      <c r="A68" s="4" t="inlineStr">
        <is>
          <t>N9-1</t>
        </is>
      </c>
      <c r="B68" s="4" t="inlineStr">
        <is>
          <t>하자보수</t>
        </is>
      </c>
      <c r="C68" s="4" t="inlineStr">
        <is>
          <t>무상 보증기간 12개월</t>
        </is>
      </c>
      <c r="D68" s="9" t="inlineStr">
        <is>
          <t>해당 없음</t>
        </is>
      </c>
      <c r="E68" s="4" t="inlineStr">
        <is>
          <t>계약 없음</t>
        </is>
      </c>
    </row>
    <row r="69">
      <c r="A69" s="4" t="inlineStr">
        <is>
          <t>N9-2</t>
        </is>
      </c>
      <c r="B69" s="4" t="inlineStr">
        <is>
          <t>하자보수</t>
        </is>
      </c>
      <c r="C69" s="4" t="inlineStr">
        <is>
          <t>O/S·유틸리티·상용 SW 신규 버전 업그레이드 여부 제시</t>
        </is>
      </c>
      <c r="D69" s="9" t="inlineStr">
        <is>
          <t>해당 없음</t>
        </is>
      </c>
      <c r="E69" s="4" t="inlineStr">
        <is>
          <t>계약 없음</t>
        </is>
      </c>
    </row>
    <row r="70">
      <c r="A70" s="4" t="inlineStr">
        <is>
          <t>N10-1</t>
        </is>
      </c>
      <c r="B70" s="4" t="inlineStr">
        <is>
          <t>규정의준수</t>
        </is>
      </c>
      <c r="C70" s="4" t="inlineStr">
        <is>
          <t>산출물의 지식재산권 주의·준수</t>
        </is>
      </c>
      <c r="D70" s="10" t="inlineStr">
        <is>
          <t>구현</t>
        </is>
      </c>
      <c r="E70" s="4" t="inlineStr">
        <is>
          <t>운영 의존성 219개 라이선스 목록·허용형 점검(dependency-licenses, license-report.mjs --check)</t>
        </is>
      </c>
    </row>
    <row r="71">
      <c r="A71" s="4" t="inlineStr">
        <is>
          <t>N10-2</t>
        </is>
      </c>
      <c r="B71" s="4" t="inlineStr">
        <is>
          <t>규정의준수</t>
        </is>
      </c>
      <c r="C71" s="4" t="inlineStr">
        <is>
          <t>저작권 문제가 없는 저작물 구현</t>
        </is>
      </c>
      <c r="D71" s="10" t="inlineStr">
        <is>
          <t>구현</t>
        </is>
      </c>
      <c r="E71" s="4" t="inlineStr">
        <is>
          <t>같은 목록 + 이미지·아이콘 자체 제작, 외부 글꼴·이미지 파일 없음</t>
        </is>
      </c>
    </row>
    <row r="72">
      <c r="A72" s="4" t="inlineStr">
        <is>
          <t>T1-1</t>
        </is>
      </c>
      <c r="B72" s="4" t="inlineStr">
        <is>
          <t>과업1</t>
        </is>
      </c>
      <c r="C72" s="4" t="inlineStr">
        <is>
          <t>기업 구조 분석(지점현황·지역분포·근무자 구조·조직도)</t>
        </is>
      </c>
      <c r="D72" s="10" t="inlineStr">
        <is>
          <t>구현</t>
        </is>
      </c>
      <c r="E72" s="4" t="inlineStr">
        <is>
          <t>기업구조및관리시스템분석 §2</t>
        </is>
      </c>
    </row>
    <row r="73">
      <c r="A73" s="4" t="inlineStr">
        <is>
          <t>T1-2</t>
        </is>
      </c>
      <c r="B73" s="4" t="inlineStr">
        <is>
          <t>과업1</t>
        </is>
      </c>
      <c r="C73" s="4" t="inlineStr">
        <is>
          <t>관리시스템 분석(인적/물적자원·본사와 지점 관리·현장관리·효율성)</t>
        </is>
      </c>
      <c r="D73" s="10" t="inlineStr">
        <is>
          <t>구현</t>
        </is>
      </c>
      <c r="E73" s="4" t="inlineStr">
        <is>
          <t>같은 문서 §3</t>
        </is>
      </c>
    </row>
    <row r="74">
      <c r="A74" s="4" t="inlineStr">
        <is>
          <t>T2-1</t>
        </is>
      </c>
      <c r="B74" s="4" t="inlineStr">
        <is>
          <t>과업2</t>
        </is>
      </c>
      <c r="C74" s="4" t="inlineStr">
        <is>
          <t>유사 기업체 관리 시스템 현황 분석</t>
        </is>
      </c>
      <c r="D74" s="12" t="inlineStr">
        <is>
          <t>미구현</t>
        </is>
      </c>
      <c r="E74" s="4" t="inlineStr">
        <is>
          <t>의도적 제외 — 벤치마킹 대상 접근 불가(§1-3)</t>
        </is>
      </c>
    </row>
    <row r="75">
      <c r="A75" s="4" t="inlineStr">
        <is>
          <t>T2-2</t>
        </is>
      </c>
      <c r="B75" s="4" t="inlineStr">
        <is>
          <t>과업2</t>
        </is>
      </c>
      <c r="C75" s="4" t="inlineStr">
        <is>
          <t>당사에 적합한 ERP/앱 개발 컨설팅</t>
        </is>
      </c>
      <c r="D75" s="10" t="inlineStr">
        <is>
          <t>구현</t>
        </is>
      </c>
      <c r="E75" s="4" t="inlineStr">
        <is>
          <t>기업분석및제안서, 차별화전략</t>
        </is>
      </c>
    </row>
    <row r="76">
      <c r="A76" s="4" t="inlineStr">
        <is>
          <t>T2-3</t>
        </is>
      </c>
      <c r="B76" s="4" t="inlineStr">
        <is>
          <t>과업2</t>
        </is>
      </c>
      <c r="C76" s="4" t="inlineStr">
        <is>
          <t>탑재할 목표 프로세스·기능 설계</t>
        </is>
      </c>
      <c r="D76" s="10" t="inlineStr">
        <is>
          <t>구현</t>
        </is>
      </c>
      <c r="E76" s="4" t="inlineStr">
        <is>
          <t>도메인 문서 9개, 아키텍처설계서</t>
        </is>
      </c>
    </row>
    <row r="77">
      <c r="A77" s="4" t="inlineStr">
        <is>
          <t>T2-4</t>
        </is>
      </c>
      <c r="B77" s="4" t="inlineStr">
        <is>
          <t>과업2</t>
        </is>
      </c>
      <c r="C77" s="4" t="inlineStr">
        <is>
          <t>UI/UX 계획 수립 및 스타일 디자인</t>
        </is>
      </c>
      <c r="D77" s="10" t="inlineStr">
        <is>
          <t>구현</t>
        </is>
      </c>
      <c r="E77" s="4" t="inlineStr">
        <is>
          <t>디자인시스템 문서(D15)</t>
        </is>
      </c>
    </row>
    <row r="78">
      <c r="A78" s="4" t="inlineStr">
        <is>
          <t>T3-1</t>
        </is>
      </c>
      <c r="B78" s="4" t="inlineStr">
        <is>
          <t>과업3</t>
        </is>
      </c>
      <c r="C78" s="4" t="inlineStr">
        <is>
          <t>요구사항 표를 반영한 프로그래밍</t>
        </is>
      </c>
      <c r="D78" s="10" t="inlineStr">
        <is>
          <t>구현</t>
        </is>
      </c>
      <c r="E78" s="4" t="inlineStr">
        <is>
          <t>§3-1·§3-2</t>
        </is>
      </c>
    </row>
    <row r="79">
      <c r="A79" s="4" t="inlineStr">
        <is>
          <t>T3-2</t>
        </is>
      </c>
      <c r="B79" s="4" t="inlineStr">
        <is>
          <t>과업3</t>
        </is>
      </c>
      <c r="C79" s="4" t="inlineStr">
        <is>
          <t>앱 개발 → 테스트 → 검수 → 완료 → 도입 → 경영개선 기대효과 분석</t>
        </is>
      </c>
      <c r="D79" s="11" t="inlineStr">
        <is>
          <t>부분</t>
        </is>
      </c>
      <c r="E79" s="4" t="inlineStr">
        <is>
          <t>개발·테스트·운영 배포까지. 검수·도입·기대효과 분석 없음</t>
        </is>
      </c>
    </row>
    <row r="80">
      <c r="A80" s="4" t="inlineStr">
        <is>
          <t>T4-1</t>
        </is>
      </c>
      <c r="B80" s="4" t="inlineStr">
        <is>
          <t>과업4</t>
        </is>
      </c>
      <c r="C80" s="4" t="inlineStr">
        <is>
          <t>이용자 매뉴얼 제작·탑재</t>
        </is>
      </c>
      <c r="D80" s="11" t="inlineStr">
        <is>
          <t>부분</t>
        </is>
      </c>
      <c r="E80" s="4" t="inlineStr">
        <is>
          <t>화면 도움말·이용 안내만, 별도 매뉴얼 없음</t>
        </is>
      </c>
    </row>
    <row r="81">
      <c r="A81" s="4" t="inlineStr">
        <is>
          <t>T4-2</t>
        </is>
      </c>
      <c r="B81" s="4" t="inlineStr">
        <is>
          <t>과업4</t>
        </is>
      </c>
      <c r="C81" s="4" t="inlineStr">
        <is>
          <t>팀장급 직원 대상 대면 교육 2회 이상</t>
        </is>
      </c>
      <c r="D81" s="9" t="inlineStr">
        <is>
          <t>해당 없음</t>
        </is>
      </c>
      <c r="E81" s="4" t="inlineStr">
        <is>
          <t>대면 행위</t>
        </is>
      </c>
    </row>
    <row r="82">
      <c r="A82" s="4" t="inlineStr">
        <is>
          <t>P1</t>
        </is>
      </c>
      <c r="B82" s="4" t="inlineStr">
        <is>
          <t>산출물1</t>
        </is>
      </c>
      <c r="C82" s="4" t="inlineStr">
        <is>
          <t>ERP 시스템 앱 1개(본사의 현장관리·현장의 회원관리)</t>
        </is>
      </c>
      <c r="D82" s="10" t="inlineStr">
        <is>
          <t>조정</t>
        </is>
      </c>
      <c r="E82" s="4" t="inlineStr">
        <is>
          <t>관리자 웹 + 회원 모바일 웹(PWA) — 네이티브 앱 아님(D40·D41·D45)</t>
        </is>
      </c>
    </row>
    <row r="83">
      <c r="A83" s="4" t="inlineStr">
        <is>
          <t>P2-1</t>
        </is>
      </c>
      <c r="B83" s="4" t="inlineStr">
        <is>
          <t>산출물2</t>
        </is>
      </c>
      <c r="C83" s="4" t="inlineStr">
        <is>
          <t>기업 경영/관리 현황 분석 1부(20p 이상)</t>
        </is>
      </c>
      <c r="D83" s="10" t="inlineStr">
        <is>
          <t>구현</t>
        </is>
      </c>
      <c r="E83" s="4" t="inlineStr">
        <is>
          <t>기업분석및제안서.docx</t>
        </is>
      </c>
    </row>
    <row r="84">
      <c r="A84" s="4" t="inlineStr">
        <is>
          <t>P2-2</t>
        </is>
      </c>
      <c r="B84" s="4" t="inlineStr">
        <is>
          <t>산출물2</t>
        </is>
      </c>
      <c r="C84" s="4" t="inlineStr">
        <is>
          <t>어플 도입 후 기대효과 분석 1부(30p 이상)</t>
        </is>
      </c>
      <c r="D84" s="12" t="inlineStr">
        <is>
          <t>미구현</t>
        </is>
      </c>
      <c r="E84" s="4" t="inlineStr">
        <is>
          <t>의도적 제외 — 실데이터 없는 수치 예측(§1-3)</t>
        </is>
      </c>
    </row>
    <row r="85">
      <c r="A85" s="4" t="inlineStr">
        <is>
          <t>P2-3</t>
        </is>
      </c>
      <c r="B85" s="4" t="inlineStr">
        <is>
          <t>산출물2</t>
        </is>
      </c>
      <c r="C85" s="4" t="inlineStr">
        <is>
          <t>유사기업 직원 매뉴얼 형태·현황 분석 1부(30p 이상)</t>
        </is>
      </c>
      <c r="D85" s="12" t="inlineStr">
        <is>
          <t>미구현</t>
        </is>
      </c>
      <c r="E85" s="4" t="inlineStr">
        <is>
          <t>의도적 제외(§1-3)</t>
        </is>
      </c>
    </row>
    <row r="86">
      <c r="A86" s="4" t="inlineStr">
        <is>
          <t>P3</t>
        </is>
      </c>
      <c r="B86" s="4" t="inlineStr">
        <is>
          <t>산출물3</t>
        </is>
      </c>
      <c r="C86" s="4" t="inlineStr">
        <is>
          <t>개발 작업계획서 1부</t>
        </is>
      </c>
      <c r="D86" s="10" t="inlineStr">
        <is>
          <t>조정</t>
        </is>
      </c>
      <c r="E86" s="4" t="inlineStr">
        <is>
          <t>아키텍처설계서·도메인 사이클 템플릿으로 대체(log/062)</t>
        </is>
      </c>
    </row>
    <row r="87">
      <c r="A87" s="4" t="inlineStr">
        <is>
          <t>P4</t>
        </is>
      </c>
      <c r="B87" s="4" t="inlineStr">
        <is>
          <t>산출물4</t>
        </is>
      </c>
      <c r="C87" s="4" t="inlineStr">
        <is>
          <t>단계별 개발 진행 보고서 5부</t>
        </is>
      </c>
      <c r="D87" s="11" t="inlineStr">
        <is>
          <t>부분</t>
        </is>
      </c>
      <c r="E87" s="4" t="inlineStr">
        <is>
          <t>진행 기록·발표 자료만(§2-3)</t>
        </is>
      </c>
    </row>
    <row r="88">
      <c r="A88" s="4" t="inlineStr">
        <is>
          <t>P5</t>
        </is>
      </c>
      <c r="B88" s="4" t="inlineStr">
        <is>
          <t>산출물5</t>
        </is>
      </c>
      <c r="C88" s="4" t="inlineStr">
        <is>
          <t>어플 사용 교육 자료 1편(게시판 탑재)</t>
        </is>
      </c>
      <c r="D88" s="11" t="inlineStr">
        <is>
          <t>부분</t>
        </is>
      </c>
      <c r="E88" s="4" t="inlineStr">
        <is>
          <t>화면 도움말·이용 안내만(§2-3)</t>
        </is>
      </c>
    </row>
    <row r="89">
      <c r="A89" s="4" t="inlineStr">
        <is>
          <t>C1</t>
        </is>
      </c>
      <c r="B89" s="4" t="inlineStr">
        <is>
          <t>개념도(p.4)</t>
        </is>
      </c>
      <c r="C89" s="4" t="inlineStr">
        <is>
          <t>현장→본사 업무일지·업무지원 요청, 본사→현장 근태관리</t>
        </is>
      </c>
      <c r="D89" s="10" t="inlineStr">
        <is>
          <t>구현</t>
        </is>
      </c>
      <c r="E89" s="4" t="inlineStr">
        <is>
          <t>업무일지 관리자 열람(log/112), 업무지원 요청(D56), 본사 근태 현황(log/114)</t>
        </is>
      </c>
    </row>
  </sheetData>
  <autoFilter ref="A17:E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권한관리 — 요구사항</t>
        </is>
      </c>
    </row>
    <row r="2">
      <c r="A2" s="2" t="inlineStr">
        <is>
          <t>원천: docs/domains/권한관리.md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본사 관리자로서, 모든 지점 데이터를 조회하고 신규 지점 관리자 계정을 발급하고 싶다.</t>
        </is>
      </c>
    </row>
    <row r="6">
      <c r="A6" s="13" t="inlineStr">
        <is>
          <t>•</t>
        </is>
      </c>
      <c r="B6" s="13" t="inlineStr">
        <is>
          <t>지점 관리자로서, 로그인하면 내 지점 데이터만 보이길 원하고 실수로도 다른 지점 정보에 접근할 수 없기를 바란다.</t>
        </is>
      </c>
    </row>
    <row r="7">
      <c r="A7" s="13" t="inlineStr">
        <is>
          <t>•</t>
        </is>
      </c>
      <c r="B7" s="13" t="inlineStr">
        <is>
          <t>회원으로서, 내 정보와 내가 속한 지점의 프로그램만 보고 싶다.</t>
        </is>
      </c>
    </row>
    <row r="8">
      <c r="A8" s="13" t="inlineStr">
        <is>
          <t>•</t>
        </is>
      </c>
      <c r="B8" s="13" t="inlineStr">
        <is>
          <t>본사 관리자로서, 직원이 퇴사하면 그 즉시 시스템 접근을 막고 싶다.</t>
        </is>
      </c>
    </row>
    <row r="9">
      <c r="A9" s="13" t="inlineStr">
        <is>
          <t>•</t>
        </is>
      </c>
      <c r="B9" s="13" t="inlineStr">
        <is>
          <t>직원(트레이너 등)으로서, 로그인해서 내 근태·휴가·업무일지만 스스로 관리하고 싶다 — 다른 직원 정보나 회원 관리 화면은 볼 필요도, 보여서도 안 된다.</t>
        </is>
      </c>
    </row>
    <row r="11">
      <c r="A11" s="5" t="inlineStr">
        <is>
          <t>원문 요구(RFP 기반 재분류)</t>
        </is>
      </c>
    </row>
    <row r="12">
      <c r="A12" s="6" t="inlineStr">
        <is>
          <t>요구사항 ID</t>
        </is>
      </c>
      <c r="B12" s="6" t="inlineStr">
        <is>
          <t>구분</t>
        </is>
      </c>
      <c r="C12" s="6" t="inlineStr">
        <is>
          <t>내용</t>
        </is>
      </c>
      <c r="D12" s="6" t="inlineStr"/>
      <c r="E12" s="6" t="inlineStr"/>
      <c r="F12" s="6" t="inlineStr"/>
    </row>
    <row r="13">
      <c r="A13" s="4" t="inlineStr">
        <is>
          <t>F01a</t>
        </is>
      </c>
      <c r="B13" s="4" t="inlineStr">
        <is>
          <t>기능</t>
        </is>
      </c>
      <c r="C13" s="4" t="inlineStr">
        <is>
          <t>권한관리 기능은 관리자 계정에만 부여</t>
        </is>
      </c>
      <c r="D13" s="14" t="n"/>
      <c r="E13" s="14" t="n"/>
      <c r="F13" s="15" t="n"/>
    </row>
    <row r="14">
      <c r="A14" s="4" t="inlineStr">
        <is>
          <t>F01b</t>
        </is>
      </c>
      <c r="B14" s="4" t="inlineStr">
        <is>
          <t>기능</t>
        </is>
      </c>
      <c r="C14" s="4" t="inlineStr">
        <is>
          <t>사용자별·프로그램별 권한 설정(입력/수정/삭제/조회/출력)</t>
        </is>
      </c>
      <c r="D14" s="14" t="n"/>
      <c r="E14" s="14" t="n"/>
      <c r="F14" s="15" t="n"/>
    </row>
    <row r="15">
      <c r="A15" s="4" t="inlineStr">
        <is>
          <t>F01c</t>
        </is>
      </c>
      <c r="B15" s="4" t="inlineStr">
        <is>
          <t>기능</t>
        </is>
      </c>
      <c r="C15" s="4" t="inlineStr">
        <is>
          <t>본사↔현장, 현장↔이용자 간 별도 권한 관리</t>
        </is>
      </c>
      <c r="D15" s="14" t="n"/>
      <c r="E15" s="14" t="n"/>
      <c r="F15" s="15" t="n"/>
    </row>
    <row r="16">
      <c r="A16" s="4" t="inlineStr">
        <is>
          <t>F01d</t>
        </is>
      </c>
      <c r="B16" s="4" t="inlineStr">
        <is>
          <t>기능</t>
        </is>
      </c>
      <c r="C16" s="4" t="inlineStr">
        <is>
          <t>퇴사 처리 이후 시스템 접근통제</t>
        </is>
      </c>
      <c r="D16" s="14" t="n"/>
      <c r="E16" s="14" t="n"/>
      <c r="F16" s="15" t="n"/>
    </row>
    <row r="17">
      <c r="A17" s="4" t="inlineStr">
        <is>
          <t>Q11</t>
        </is>
      </c>
      <c r="B17" s="4" t="inlineStr">
        <is>
          <t>품질</t>
        </is>
      </c>
      <c r="C17" s="4" t="inlineStr">
        <is>
          <t>접근 통제가 그룹별·개인별·기능별로 구체적이어야 함</t>
        </is>
      </c>
      <c r="D17" s="14" t="n"/>
      <c r="E17" s="14" t="n"/>
      <c r="F17" s="15" t="n"/>
    </row>
    <row r="18">
      <c r="A18" s="4" t="inlineStr">
        <is>
          <t>Q15</t>
        </is>
      </c>
      <c r="B18" s="4" t="inlineStr">
        <is>
          <t>품질</t>
        </is>
      </c>
      <c r="C18" s="4" t="inlineStr">
        <is>
          <t>사용자 권한에 따라 버튼(수정/삭제/조회) 기능 제어</t>
        </is>
      </c>
      <c r="D18" s="14" t="n"/>
      <c r="E18" s="14" t="n"/>
      <c r="F18" s="15" t="n"/>
    </row>
    <row r="19">
      <c r="A19" s="4" t="inlineStr">
        <is>
          <t>AUTH-C07</t>
        </is>
      </c>
      <c r="B19" s="4" t="inlineStr">
        <is>
          <t>제약</t>
        </is>
      </c>
      <c r="C19" s="4" t="inlineStr">
        <is>
          <t>C01(과업 기간)이 간접 제약: 1인 개발 일정상 엔터프라이즈급 ACL을 만들 여유가 없다 — 아래 Driver 3의 판단 근거.</t>
        </is>
      </c>
      <c r="D19" s="14" t="n"/>
      <c r="E19" s="14" t="n"/>
      <c r="F19" s="15" t="n"/>
    </row>
    <row r="21">
      <c r="A21" s="5" t="inlineStr">
        <is>
          <t>불변규칙(협의 불가)</t>
        </is>
      </c>
    </row>
    <row r="22">
      <c r="A22" s="6" t="inlineStr">
        <is>
          <t>요구사항 ID</t>
        </is>
      </c>
      <c r="B22" s="6" t="inlineStr">
        <is>
          <t>규칙</t>
        </is>
      </c>
      <c r="C22" s="6" t="inlineStr"/>
      <c r="D22" s="6" t="inlineStr"/>
      <c r="E22" s="6" t="inlineStr"/>
      <c r="F22" s="6" t="inlineStr">
        <is>
          <t>검증</t>
        </is>
      </c>
    </row>
    <row r="23">
      <c r="A23" s="4" t="inlineStr">
        <is>
          <t>AUTH-INV-01</t>
        </is>
      </c>
      <c r="B23" s="4" t="inlineStr">
        <is>
          <t>퇴사·탈퇴 처리된 계정은 즉시 접근이 차단된다. (F01d, RFP 원문 그대로 — "몇 분까지는 봐준다"가 성립할 수 없는 성격)</t>
        </is>
      </c>
      <c r="C23" s="14" t="n"/>
      <c r="D23" s="14" t="n"/>
      <c r="E23" s="15" t="n"/>
      <c r="F23" s="4" t="inlineStr">
        <is>
          <t>자동 테스트</t>
        </is>
      </c>
    </row>
    <row r="24">
      <c r="A24" s="4" t="inlineStr">
        <is>
          <t>AUTH-INV-02</t>
        </is>
      </c>
      <c r="B24" s="4" t="inlineStr">
        <is>
          <t>채용·재배치·Role 변경은 본사(SUPER_ADMIN)만 한다. (CLAUDE.md 4대 불변식 — 인사 권한 분리)</t>
        </is>
      </c>
      <c r="C24" s="14" t="n"/>
      <c r="D24" s="14" t="n"/>
      <c r="E24" s="15" t="n"/>
      <c r="F24" s="4" t="inlineStr">
        <is>
          <t>자동 테스트</t>
        </is>
      </c>
    </row>
    <row r="25">
      <c r="A25" s="4" t="inlineStr">
        <is>
          <t>AUTH-INV-03</t>
        </is>
      </c>
      <c r="B25" s="4" t="inlineStr">
        <is>
          <t>BRANCH_ADMIN·STAFF·MEMBER는 자기 소속 범위를 벗어난 데이터에 접근할 수 없다. (CLAUDE.md 4대 불변식 — 지점 데이터 격리. 권한관리 도메인은 이 규칙을 *구현하는 메커니즘*의 근원이다)</t>
        </is>
      </c>
      <c r="C25" s="14" t="n"/>
      <c r="D25" s="14" t="n"/>
      <c r="E25" s="15" t="n"/>
      <c r="F25" s="4" t="inlineStr">
        <is>
          <t>자동 테스트</t>
        </is>
      </c>
    </row>
    <row r="26">
      <c r="A26" s="7" t="inlineStr">
        <is>
          <t>관련 테스트</t>
        </is>
      </c>
      <c r="B26" s="13" t="inlineStr">
        <is>
          <t>auth-lifecycle·auth-refresh-token·auth-password·hr-authority·contract-termination·branch-isolation·branch-scope-coverage spec</t>
        </is>
      </c>
    </row>
    <row r="28">
      <c r="A28" s="5" t="inlineStr">
        <is>
          <t>기능 명세(실제 API 기준)</t>
        </is>
      </c>
    </row>
    <row r="29">
      <c r="A29" s="6" t="inlineStr">
        <is>
          <t>요구사항 ID</t>
        </is>
      </c>
      <c r="B29" s="6" t="inlineStr">
        <is>
          <t>기능</t>
        </is>
      </c>
      <c r="C29" s="6" t="inlineStr">
        <is>
          <t>Method</t>
        </is>
      </c>
      <c r="D29" s="6" t="inlineStr">
        <is>
          <t>Endpoint(/api/v1)</t>
        </is>
      </c>
      <c r="E29" s="6" t="inlineStr">
        <is>
          <t>권한</t>
        </is>
      </c>
      <c r="F29" s="6" t="inlineStr">
        <is>
          <t>상태</t>
        </is>
      </c>
    </row>
    <row r="30">
      <c r="A30" s="4" t="inlineStr">
        <is>
          <t>AUTH-FN-01</t>
        </is>
      </c>
      <c r="B30" s="4" t="inlineStr">
        <is>
          <t>이메일·비밀번호 로그인 — 액세스·리프레시 토큰 발급, 비활성 계정 차단</t>
        </is>
      </c>
      <c r="C30" s="4" t="inlineStr">
        <is>
          <t>POST</t>
        </is>
      </c>
      <c r="D30" s="4" t="inlineStr">
        <is>
          <t>/auth/login</t>
        </is>
      </c>
      <c r="E30" s="4" t="inlineStr">
        <is>
          <t>공개</t>
        </is>
      </c>
      <c r="F30" s="10" t="inlineStr">
        <is>
          <t>구현(API+화면: 관리자 웹·회원 웹)</t>
        </is>
      </c>
    </row>
    <row r="31">
      <c r="A31" s="4" t="inlineStr">
        <is>
          <t>AUTH-FN-02</t>
        </is>
      </c>
      <c r="B31" s="4" t="inlineStr">
        <is>
          <t>로그아웃 — 리프레시 토큰 폐기</t>
        </is>
      </c>
      <c r="C31" s="4" t="inlineStr">
        <is>
          <t>POST</t>
        </is>
      </c>
      <c r="D31" s="4" t="inlineStr">
        <is>
          <t>/auth/logout</t>
        </is>
      </c>
      <c r="E31" s="4" t="inlineStr">
        <is>
          <t>공개</t>
        </is>
      </c>
      <c r="F31" s="10" t="inlineStr">
        <is>
          <t>구현(API, 화면 불필요)</t>
        </is>
      </c>
    </row>
    <row r="32">
      <c r="A32" s="4" t="inlineStr">
        <is>
          <t>AUTH-FN-03</t>
        </is>
      </c>
      <c r="B32" s="4" t="inlineStr">
        <is>
          <t>내 계정 정보</t>
        </is>
      </c>
      <c r="C32" s="4" t="inlineStr">
        <is>
          <t>GET</t>
        </is>
      </c>
      <c r="D32" s="4" t="inlineStr">
        <is>
          <t>/auth/me</t>
        </is>
      </c>
      <c r="E32" s="4" t="inlineStr">
        <is>
          <t>로그인 사용자</t>
        </is>
      </c>
      <c r="F32" s="10" t="inlineStr">
        <is>
          <t>구현(API, 화면 불필요)</t>
        </is>
      </c>
    </row>
    <row r="33">
      <c r="A33" s="4" t="inlineStr">
        <is>
          <t>AUTH-FN-04</t>
        </is>
      </c>
      <c r="B33" s="4" t="inlineStr">
        <is>
          <t>비밀번호 변경 — 현재 비밀번호 확인, 변경 시 리프레시 토큰 전부 폐기, 데모 계정 403(ADR-AUTH-05)</t>
        </is>
      </c>
      <c r="C33" s="4" t="inlineStr">
        <is>
          <t>PATCH</t>
        </is>
      </c>
      <c r="D33" s="4" t="inlineStr">
        <is>
          <t>/auth/password</t>
        </is>
      </c>
      <c r="E33" s="4" t="inlineStr">
        <is>
          <t>로그인 사용자</t>
        </is>
      </c>
      <c r="F33" s="10" t="inlineStr">
        <is>
          <t>구현(API+화면: 관리자 웹·회원 웹)</t>
        </is>
      </c>
    </row>
    <row r="34">
      <c r="A34" s="4" t="inlineStr">
        <is>
          <t>AUTH-FN-05</t>
        </is>
      </c>
      <c r="B34" s="4" t="inlineStr">
        <is>
          <t>리프레시 토큰으로 재발급(1회용 교체)</t>
        </is>
      </c>
      <c r="C34" s="4" t="inlineStr">
        <is>
          <t>POST</t>
        </is>
      </c>
      <c r="D34" s="4" t="inlineStr">
        <is>
          <t>/auth/refresh</t>
        </is>
      </c>
      <c r="E34" s="4" t="inlineStr">
        <is>
          <t>공개</t>
        </is>
      </c>
      <c r="F34" s="10" t="inlineStr">
        <is>
          <t>구현(API, 화면 불필요)</t>
        </is>
      </c>
    </row>
    <row r="35">
      <c r="A35" s="4" t="inlineStr">
        <is>
          <t>AUTH-FN-06</t>
        </is>
      </c>
      <c r="B35" s="4" t="inlineStr">
        <is>
          <t>직원 계정과 역할 목록(본사)</t>
        </is>
      </c>
      <c r="C35" s="4" t="inlineStr">
        <is>
          <t>GET</t>
        </is>
      </c>
      <c r="D35" s="4" t="inlineStr">
        <is>
          <t>/permissions/staff</t>
        </is>
      </c>
      <c r="E35" s="4" t="inlineStr">
        <is>
          <t>본사</t>
        </is>
      </c>
      <c r="F35" s="10" t="inlineStr">
        <is>
          <t>구현(API+화면: 관리자 웹)</t>
        </is>
      </c>
    </row>
    <row r="36">
      <c r="A36" s="4" t="inlineStr">
        <is>
          <t>AUTH-FN-07</t>
        </is>
      </c>
      <c r="B36" s="4" t="inlineStr">
        <is>
          <t>직원 역할 전환(지점 관리자 ↔ 직원, 본사)</t>
        </is>
      </c>
      <c r="C36" s="4" t="inlineStr">
        <is>
          <t>PATCH</t>
        </is>
      </c>
      <c r="D36" s="4" t="inlineStr">
        <is>
          <t>/permissions/staff/:staffId/role</t>
        </is>
      </c>
      <c r="E36" s="4" t="inlineStr">
        <is>
          <t>본사</t>
        </is>
      </c>
      <c r="F36" s="10" t="inlineStr">
        <is>
          <t>구현(API+화면: 관리자 웹)</t>
        </is>
      </c>
    </row>
    <row r="38">
      <c r="A38" s="5" t="inlineStr">
        <is>
          <t>설계 결정(ADR)</t>
        </is>
      </c>
    </row>
    <row r="39">
      <c r="A39" s="6" t="inlineStr">
        <is>
          <t>ADR</t>
        </is>
      </c>
      <c r="B39" s="6" t="inlineStr">
        <is>
          <t>결정</t>
        </is>
      </c>
      <c r="C39" s="6" t="inlineStr"/>
      <c r="D39" s="6" t="inlineStr"/>
      <c r="E39" s="6" t="inlineStr"/>
      <c r="F39" s="6" t="inlineStr">
        <is>
          <t>상태</t>
        </is>
      </c>
    </row>
    <row r="40">
      <c r="A40" s="4" t="inlineStr">
        <is>
          <t>ADR-AUTH-01</t>
        </is>
      </c>
      <c r="B40" s="4" t="inlineStr">
        <is>
          <t>매 요청 Account 재조회로 퇴사·Role 변경 즉시 반영</t>
        </is>
      </c>
      <c r="C40" s="14" t="n"/>
      <c r="D40" s="14" t="n"/>
      <c r="E40" s="15" t="n"/>
      <c r="F40" s="10" t="inlineStr">
        <is>
          <t>구현</t>
        </is>
      </c>
    </row>
    <row r="41">
      <c r="A41" s="4" t="inlineStr">
        <is>
          <t>ADR-AUTH-02</t>
        </is>
      </c>
      <c r="B41" s="4" t="inlineStr">
        <is>
          <t>계약 종료 지점 계정 — 쓰기 차단 + 수동 비활성화</t>
        </is>
      </c>
      <c r="C41" s="14" t="n"/>
      <c r="D41" s="14" t="n"/>
      <c r="E41" s="15" t="n"/>
      <c r="F41" s="10" t="inlineStr">
        <is>
          <t>구현(수단은 본사 퇴사 처리, 인사정보관리 ADR-STF-08·log/103)</t>
        </is>
      </c>
    </row>
    <row r="42">
      <c r="A42" s="4" t="inlineStr">
        <is>
          <t>ADR-AUTH-03</t>
        </is>
      </c>
      <c r="B42" s="4" t="inlineStr">
        <is>
          <t>4-Role 고정 RBAC(개별 ACL 없음)</t>
        </is>
      </c>
      <c r="C42" s="14" t="n"/>
      <c r="D42" s="14" t="n"/>
      <c r="E42" s="15" t="n"/>
      <c r="F42" s="10" t="inlineStr">
        <is>
          <t>구현</t>
        </is>
      </c>
    </row>
    <row r="43">
      <c r="A43" s="4" t="inlineStr">
        <is>
          <t>ADR-AUTH-04</t>
        </is>
      </c>
      <c r="B43" s="4" t="inlineStr">
        <is>
          <t>Refresh Token 발급 시 그 계정의 만료·폐기 토큰 정리</t>
        </is>
      </c>
      <c r="C43" s="14" t="n"/>
      <c r="D43" s="14" t="n"/>
      <c r="E43" s="15" t="n"/>
      <c r="F43" s="10" t="inlineStr">
        <is>
          <t>구현</t>
        </is>
      </c>
    </row>
    <row r="44">
      <c r="A44" s="4" t="inlineStr">
        <is>
          <t>ADR-AUTH-05</t>
        </is>
      </c>
      <c r="B44" s="4" t="inlineStr">
        <is>
          <t>비밀번호 변경 — 데모 계정 403, 불일치 400, 변경 시 refresh token 전부 폐기</t>
        </is>
      </c>
      <c r="C44" s="14" t="n"/>
      <c r="D44" s="14" t="n"/>
      <c r="E44" s="15" t="n"/>
      <c r="F44" s="10" t="inlineStr">
        <is>
          <t>구현(log/091)</t>
        </is>
      </c>
    </row>
    <row r="45">
      <c r="A45" s="4" t="inlineStr">
        <is>
          <t>ADR-AUTH-06</t>
        </is>
      </c>
      <c r="B45" s="4" t="inlineStr">
        <is>
          <t>갱신 토큰 원자적 폐기 — 동시 갱신은 한 요청만 성공(재사용 탐지는 안 함)</t>
        </is>
      </c>
      <c r="C45" s="14" t="n"/>
      <c r="D45" s="14" t="n"/>
      <c r="E45" s="15" t="n"/>
      <c r="F45" s="10" t="inlineStr">
        <is>
          <t>구현(log/123)</t>
        </is>
      </c>
    </row>
    <row r="47">
      <c r="A47" s="5" t="inlineStr">
        <is>
          <t>미구현·범위 제외(도메인 문서 기준)</t>
        </is>
      </c>
    </row>
    <row r="48" ht="30" customHeight="1">
      <c r="A48" s="16" t="inlineStr">
        <is>
          <t>로그인 잠금, /accounts 범용 API, 비밀번호 재설정·로그인 이력 화면</t>
        </is>
      </c>
    </row>
  </sheetData>
  <mergeCells count="23">
    <mergeCell ref="B40:E40"/>
    <mergeCell ref="B7:F7"/>
    <mergeCell ref="C17:F17"/>
    <mergeCell ref="B24:E24"/>
    <mergeCell ref="C19:F19"/>
    <mergeCell ref="C13:F13"/>
    <mergeCell ref="B45:E45"/>
    <mergeCell ref="C18:F18"/>
    <mergeCell ref="B41:E41"/>
    <mergeCell ref="B25:E25"/>
    <mergeCell ref="C15:F15"/>
    <mergeCell ref="B8:F8"/>
    <mergeCell ref="C14:F14"/>
    <mergeCell ref="B43:E43"/>
    <mergeCell ref="C16:F16"/>
    <mergeCell ref="A48:F48"/>
    <mergeCell ref="B42:E42"/>
    <mergeCell ref="B9:F9"/>
    <mergeCell ref="B23:E23"/>
    <mergeCell ref="B6:F6"/>
    <mergeCell ref="B44:E44"/>
    <mergeCell ref="B5:F5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인사정보관리 — 요구사항</t>
        </is>
      </c>
    </row>
    <row r="2">
      <c r="A2" s="2" t="inlineStr">
        <is>
          <t>원천: docs/domains/인사정보관리.md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본사 관리자로서, 신규 채용한 직원을 특정 지점에 배치(최초 파견)하고 싶다.</t>
        </is>
      </c>
    </row>
    <row r="6">
      <c r="A6" s="13" t="inlineStr">
        <is>
          <t>•</t>
        </is>
      </c>
      <c r="B6" s="13" t="inlineStr">
        <is>
          <t>본사 관리자로서, 직원을 다른 지점으로 재배치(파견 전환)하고 그 이력을 남기고 싶다.</t>
        </is>
      </c>
    </row>
    <row r="7">
      <c r="A7" s="13" t="inlineStr">
        <is>
          <t>•</t>
        </is>
      </c>
      <c r="B7" s="13" t="inlineStr">
        <is>
          <t>지점 관리자로서, 현재 우리 지점에 파견된 직원들의 직급/연락처 등 일상적인 인사정보를 관리하고 싶다.</t>
        </is>
      </c>
    </row>
    <row r="8">
      <c r="A8" s="13" t="inlineStr">
        <is>
          <t>•</t>
        </is>
      </c>
      <c r="B8" s="13" t="inlineStr">
        <is>
          <t>본사 관리자로서, 전 지점 직원 현황을 하나의 화면에서 조회하고 싶다(원본 "한 화면 조회" 요건).</t>
        </is>
      </c>
    </row>
    <row r="9">
      <c r="A9" s="13" t="inlineStr">
        <is>
          <t>•</t>
        </is>
      </c>
      <c r="B9" s="13" t="inlineStr">
        <is>
          <t>직원으로서, 내 인적사항 변경(연락처 등)을 신청하면 관리자 승인 후 반영되길 원한다.</t>
        </is>
      </c>
    </row>
    <row r="10">
      <c r="A10" s="13" t="inlineStr">
        <is>
          <t>•</t>
        </is>
      </c>
      <c r="B10" s="13" t="inlineStr">
        <is>
          <t>지점 관리자로서, 퇴사 처리 시 퇴사일을 기록하고 계정을 자동으로 비활성화하고 싶다.</t>
        </is>
      </c>
    </row>
    <row r="12">
      <c r="A12" s="5" t="inlineStr">
        <is>
          <t>원문 요구(RFP 기반 재분류)</t>
        </is>
      </c>
    </row>
    <row r="13">
      <c r="A13" s="6" t="inlineStr">
        <is>
          <t>요구사항 ID</t>
        </is>
      </c>
      <c r="B13" s="6" t="inlineStr">
        <is>
          <t>구분</t>
        </is>
      </c>
      <c r="C13" s="6" t="inlineStr">
        <is>
          <t>내용</t>
        </is>
      </c>
      <c r="D13" s="6" t="inlineStr"/>
      <c r="E13" s="6" t="inlineStr"/>
      <c r="F13" s="6" t="inlineStr"/>
    </row>
    <row r="14">
      <c r="A14" s="4" t="inlineStr">
        <is>
          <t>F02a</t>
        </is>
      </c>
      <c r="B14" s="4" t="inlineStr">
        <is>
          <t>기능</t>
        </is>
      </c>
      <c r="C14" s="4" t="inlineStr">
        <is>
          <t>현장(지점)별 인사관리 탭, 코드 생성</t>
        </is>
      </c>
      <c r="D14" s="14" t="n"/>
      <c r="E14" s="14" t="n"/>
      <c r="F14" s="15" t="n"/>
    </row>
    <row r="15">
      <c r="A15" s="4" t="inlineStr">
        <is>
          <t>F02b</t>
        </is>
      </c>
      <c r="B15" s="4" t="inlineStr">
        <is>
          <t>기능</t>
        </is>
      </c>
      <c r="C15" s="4" t="inlineStr">
        <is>
          <t>모든 인사기록 정보를 한 화면에서 조회</t>
        </is>
      </c>
      <c r="D15" s="14" t="n"/>
      <c r="E15" s="14" t="n"/>
      <c r="F15" s="15" t="n"/>
    </row>
    <row r="16">
      <c r="A16" s="4" t="inlineStr">
        <is>
          <t>F02c</t>
        </is>
      </c>
      <c r="B16" s="4" t="inlineStr">
        <is>
          <t>기능</t>
        </is>
      </c>
      <c r="C16" s="4" t="inlineStr">
        <is>
          <t>권한 부여 혹은 승인 시 수정 가능</t>
        </is>
      </c>
      <c r="D16" s="14" t="n"/>
      <c r="E16" s="14" t="n"/>
      <c r="F16" s="15" t="n"/>
    </row>
    <row r="17">
      <c r="A17" s="4" t="inlineStr">
        <is>
          <t>STF-C04</t>
        </is>
      </c>
      <c r="B17" s="4" t="inlineStr">
        <is>
          <t>제약</t>
        </is>
      </c>
      <c r="C17" s="4" t="inlineStr">
        <is>
          <t>C01(과업 기간)이 간접 제약: "승인 기반 수정"의 다단계 결재라인은 1인 개발 범위를 넘어 본인 신청→1단계 승인으로 단순화(아래 §8 참고).</t>
        </is>
      </c>
      <c r="D17" s="14" t="n"/>
      <c r="E17" s="14" t="n"/>
      <c r="F17" s="15" t="n"/>
    </row>
    <row r="19">
      <c r="A19" s="5" t="inlineStr">
        <is>
          <t>불변규칙(협의 불가)</t>
        </is>
      </c>
    </row>
    <row r="20">
      <c r="A20" s="6" t="inlineStr">
        <is>
          <t>요구사항 ID</t>
        </is>
      </c>
      <c r="B20" s="6" t="inlineStr">
        <is>
          <t>규칙</t>
        </is>
      </c>
      <c r="C20" s="6" t="inlineStr"/>
      <c r="D20" s="6" t="inlineStr"/>
      <c r="E20" s="6" t="inlineStr"/>
      <c r="F20" s="6" t="inlineStr">
        <is>
          <t>검증</t>
        </is>
      </c>
    </row>
    <row r="21">
      <c r="A21" s="4" t="inlineStr">
        <is>
          <t>STF-INV-01</t>
        </is>
      </c>
      <c r="B21" s="4" t="inlineStr">
        <is>
          <t>채용·재배치는 본사(SUPER_ADMIN)만 한다. (CLAUDE.md 4대 불변식 — 인사 권한 분리. 권한관리 도메인의 불변규칙 2와 같은 원천, 이 도메인은 그 실제 구현 지점이다)</t>
        </is>
      </c>
      <c r="C21" s="14" t="n"/>
      <c r="D21" s="14" t="n"/>
      <c r="E21" s="15" t="n"/>
      <c r="F21" s="4" t="inlineStr">
        <is>
          <t>자동 테스트</t>
        </is>
      </c>
    </row>
    <row r="22">
      <c r="A22" s="4" t="inlineStr">
        <is>
          <t>STF-INV-02</t>
        </is>
      </c>
      <c r="B22" s="4" t="inlineStr">
        <is>
          <t>한 직원은 활성(endDate=null) StaffAssignment가 항상 최대 1건이어야 한다. (파견이 이 도메인의 핵심 모델인 이상, 한 사람이 동시에 두 지점에 파견될 수는 없다는 건 협의 대상이 아니다)</t>
        </is>
      </c>
      <c r="C22" s="14" t="n"/>
      <c r="D22" s="14" t="n"/>
      <c r="E22" s="15" t="n"/>
      <c r="F22" s="4" t="inlineStr">
        <is>
          <t>자동 테스트</t>
        </is>
      </c>
    </row>
    <row r="23">
      <c r="A23" s="4" t="inlineStr">
        <is>
          <t>STF-INV-03</t>
        </is>
      </c>
      <c r="B23" s="4" t="inlineStr">
        <is>
          <t>퇴사 처리는 계정 비활성화와 분리될 수 없다. (권한관리 도메인 불변규칙 1 "퇴사 즉시 접근 차단"의 트리거가 바로 이 도메인의 /resign이다 — 두 도메인이 공유하는 불변식의 서로 다른 쪽 절반)</t>
        </is>
      </c>
      <c r="C23" s="14" t="n"/>
      <c r="D23" s="14" t="n"/>
      <c r="E23" s="15" t="n"/>
      <c r="F23" s="4" t="inlineStr">
        <is>
          <t>자동 테스트</t>
        </is>
      </c>
    </row>
    <row r="24">
      <c r="A24" s="7" t="inlineStr">
        <is>
          <t>관련 테스트</t>
        </is>
      </c>
      <c r="B24" s="13" t="inlineStr">
        <is>
          <t>staff-assignment·staff-write·staff-change-requests·hr-authority·contract-termination·integrity-helpers·audit-log·phone-view-audit·branch-isolation spec</t>
        </is>
      </c>
    </row>
    <row r="26">
      <c r="A26" s="5" t="inlineStr">
        <is>
          <t>기능 명세(실제 API 기준)</t>
        </is>
      </c>
    </row>
    <row r="27">
      <c r="A27" s="6" t="inlineStr">
        <is>
          <t>요구사항 ID</t>
        </is>
      </c>
      <c r="B27" s="6" t="inlineStr">
        <is>
          <t>기능</t>
        </is>
      </c>
      <c r="C27" s="6" t="inlineStr">
        <is>
          <t>Method</t>
        </is>
      </c>
      <c r="D27" s="6" t="inlineStr">
        <is>
          <t>Endpoint(/api/v1)</t>
        </is>
      </c>
      <c r="E27" s="6" t="inlineStr">
        <is>
          <t>권한</t>
        </is>
      </c>
      <c r="F27" s="6" t="inlineStr">
        <is>
          <t>상태</t>
        </is>
      </c>
    </row>
    <row r="28">
      <c r="A28" s="4" t="inlineStr">
        <is>
          <t>STF-FN-01</t>
        </is>
      </c>
      <c r="B28" s="4" t="inlineStr">
        <is>
          <t>직원 목록(본사 전체, 지점 관리자는 자기 지점) — 전화번호 마스킹, ?unassigned=true는 재배치 대기(ADR-STF-08)</t>
        </is>
      </c>
      <c r="C28" s="4" t="inlineStr">
        <is>
          <t>GET</t>
        </is>
      </c>
      <c r="D28" s="4" t="inlineStr">
        <is>
          <t>/staff</t>
        </is>
      </c>
      <c r="E28" s="4" t="inlineStr">
        <is>
          <t>본사, 지점</t>
        </is>
      </c>
      <c r="F28" s="10" t="inlineStr">
        <is>
          <t>구현(API+화면: 관리자 웹)</t>
        </is>
      </c>
    </row>
    <row r="29">
      <c r="A29" s="4" t="inlineStr">
        <is>
          <t>STF-FN-02</t>
        </is>
      </c>
      <c r="B29" s="4" t="inlineStr">
        <is>
          <t>직원 채용 — 계정·직원·첫 파견을 함께 생성(본사만)</t>
        </is>
      </c>
      <c r="C29" s="4" t="inlineStr">
        <is>
          <t>POST</t>
        </is>
      </c>
      <c r="D29" s="4" t="inlineStr">
        <is>
          <t>/staff</t>
        </is>
      </c>
      <c r="E29" s="4" t="inlineStr">
        <is>
          <t>본사</t>
        </is>
      </c>
      <c r="F29" s="10" t="inlineStr">
        <is>
          <t>구현(API+화면: 관리자 웹)</t>
        </is>
      </c>
    </row>
    <row r="30">
      <c r="A30" s="4" t="inlineStr">
        <is>
          <t>STF-FN-03</t>
        </is>
      </c>
      <c r="B30" s="4" t="inlineStr">
        <is>
          <t>직원 상세 — 관리자가 열면 열람 기록(PHONE_VIEWED, D47)</t>
        </is>
      </c>
      <c r="C30" s="4" t="inlineStr">
        <is>
          <t>GET</t>
        </is>
      </c>
      <c r="D30" s="4" t="inlineStr">
        <is>
          <t>/staff/:id</t>
        </is>
      </c>
      <c r="E30" s="4" t="inlineStr">
        <is>
          <t>본사, 지점, 직원</t>
        </is>
      </c>
      <c r="F30" s="10" t="inlineStr">
        <is>
          <t>구현(API+화면: 관리자 웹)</t>
        </is>
      </c>
    </row>
    <row r="31">
      <c r="A31" s="4" t="inlineStr">
        <is>
          <t>STF-FN-04</t>
        </is>
      </c>
      <c r="B31" s="4" t="inlineStr">
        <is>
          <t>직원 정보 수정</t>
        </is>
      </c>
      <c r="C31" s="4" t="inlineStr">
        <is>
          <t>PATCH</t>
        </is>
      </c>
      <c r="D31" s="4" t="inlineStr">
        <is>
          <t>/staff/:id</t>
        </is>
      </c>
      <c r="E31" s="4" t="inlineStr">
        <is>
          <t>지점</t>
        </is>
      </c>
      <c r="F31" s="10" t="inlineStr">
        <is>
          <t>구현(API+화면: 관리자 웹)</t>
        </is>
      </c>
    </row>
    <row r="32">
      <c r="A32" s="4" t="inlineStr">
        <is>
          <t>STF-FN-05</t>
        </is>
      </c>
      <c r="B32" s="4" t="inlineStr">
        <is>
          <t>파견 이력</t>
        </is>
      </c>
      <c r="C32" s="4" t="inlineStr">
        <is>
          <t>GET</t>
        </is>
      </c>
      <c r="D32" s="4" t="inlineStr">
        <is>
          <t>/staff/:id/assignments</t>
        </is>
      </c>
      <c r="E32" s="4" t="inlineStr">
        <is>
          <t>본사, 지점</t>
        </is>
      </c>
      <c r="F32" s="10" t="inlineStr">
        <is>
          <t>구현(API+화면: 관리자 웹)</t>
        </is>
      </c>
    </row>
    <row r="33">
      <c r="A33" s="4" t="inlineStr">
        <is>
          <t>STF-FN-06</t>
        </is>
      </c>
      <c r="B33" s="4" t="inlineStr">
        <is>
          <t>파견 발령(재배치) — 옛 지점 담당 회원 해제, 계약 종료 지점으로는 409(본사만)</t>
        </is>
      </c>
      <c r="C33" s="4" t="inlineStr">
        <is>
          <t>POST</t>
        </is>
      </c>
      <c r="D33" s="4" t="inlineStr">
        <is>
          <t>/staff/:id/assignments</t>
        </is>
      </c>
      <c r="E33" s="4" t="inlineStr">
        <is>
          <t>본사</t>
        </is>
      </c>
      <c r="F33" s="10" t="inlineStr">
        <is>
          <t>구현(API+화면: 관리자 웹)</t>
        </is>
      </c>
    </row>
    <row r="34">
      <c r="A34" s="4" t="inlineStr">
        <is>
          <t>STF-FN-07</t>
        </is>
      </c>
      <c r="B34" s="4" t="inlineStr">
        <is>
          <t>퇴사 처리 — 계정 비활성화, 파견 종료, 담당 회원 해제, 인사서류 보존기한 재계산(지점 관리자. 계약 종료 지점 직원은 본사도 — ADR-STF-08)</t>
        </is>
      </c>
      <c r="C34" s="4" t="inlineStr">
        <is>
          <t>PATCH</t>
        </is>
      </c>
      <c r="D34" s="4" t="inlineStr">
        <is>
          <t>/staff/:id/resign</t>
        </is>
      </c>
      <c r="E34" s="4" t="inlineStr">
        <is>
          <t>지점, 본사</t>
        </is>
      </c>
      <c r="F34" s="10" t="inlineStr">
        <is>
          <t>구현(API+화면: 관리자 웹)</t>
        </is>
      </c>
    </row>
    <row r="35">
      <c r="A35" s="4" t="inlineStr">
        <is>
          <t>STF-FN-08</t>
        </is>
      </c>
      <c r="B35" s="4" t="inlineStr">
        <is>
          <t>내 직원 정보</t>
        </is>
      </c>
      <c r="C35" s="4" t="inlineStr">
        <is>
          <t>GET</t>
        </is>
      </c>
      <c r="D35" s="4" t="inlineStr">
        <is>
          <t>/staff/me</t>
        </is>
      </c>
      <c r="E35" s="4" t="inlineStr">
        <is>
          <t>로그인 사용자</t>
        </is>
      </c>
      <c r="F35" s="10" t="inlineStr">
        <is>
          <t>구현(API+화면: 관리자 웹)</t>
        </is>
      </c>
    </row>
    <row r="36">
      <c r="A36" s="4" t="inlineStr">
        <is>
          <t>STF-FN-09</t>
        </is>
      </c>
      <c r="B36" s="4" t="inlineStr">
        <is>
          <t>인사 변경 신청 목록(지점 관리자는 자기 지점, 본사는 조회)</t>
        </is>
      </c>
      <c r="C36" s="4" t="inlineStr">
        <is>
          <t>GET</t>
        </is>
      </c>
      <c r="D36" s="4" t="inlineStr">
        <is>
          <t>/staff-change-requests</t>
        </is>
      </c>
      <c r="E36" s="4" t="inlineStr">
        <is>
          <t>본사, 지점</t>
        </is>
      </c>
      <c r="F36" s="10" t="inlineStr">
        <is>
          <t>구현(API+화면: 관리자 웹)</t>
        </is>
      </c>
    </row>
    <row r="37">
      <c r="A37" s="4" t="inlineStr">
        <is>
          <t>STF-FN-10</t>
        </is>
      </c>
      <c r="B37" s="4" t="inlineStr">
        <is>
          <t>인사 변경 신청(직원 본인 — 연락처 등, ADR-STF-09)</t>
        </is>
      </c>
      <c r="C37" s="4" t="inlineStr">
        <is>
          <t>POST</t>
        </is>
      </c>
      <c r="D37" s="4" t="inlineStr">
        <is>
          <t>/staff-change-requests</t>
        </is>
      </c>
      <c r="E37" s="4" t="inlineStr">
        <is>
          <t>직원</t>
        </is>
      </c>
      <c r="F37" s="10" t="inlineStr">
        <is>
          <t>구현(API+화면: 관리자 웹)</t>
        </is>
      </c>
    </row>
    <row r="38">
      <c r="A38" s="4" t="inlineStr">
        <is>
          <t>STF-FN-11</t>
        </is>
      </c>
      <c r="B38" s="4" t="inlineStr">
        <is>
          <t>인사 변경 신청 취소(대기 중일 때 본인)</t>
        </is>
      </c>
      <c r="C38" s="4" t="inlineStr">
        <is>
          <t>DELETE</t>
        </is>
      </c>
      <c r="D38" s="4" t="inlineStr">
        <is>
          <t>/staff-change-requests/:id</t>
        </is>
      </c>
      <c r="E38" s="4" t="inlineStr">
        <is>
          <t>직원</t>
        </is>
      </c>
      <c r="F38" s="10" t="inlineStr">
        <is>
          <t>구현(API+화면: 관리자 웹)</t>
        </is>
      </c>
    </row>
    <row r="39">
      <c r="A39" s="4" t="inlineStr">
        <is>
          <t>STF-FN-12</t>
        </is>
      </c>
      <c r="B39" s="4" t="inlineStr">
        <is>
          <t>인사 변경 승인 — 직원 정보에 반영, 변경 이력 기록(지점 관리자 1단계 승인)</t>
        </is>
      </c>
      <c r="C39" s="4" t="inlineStr">
        <is>
          <t>PATCH</t>
        </is>
      </c>
      <c r="D39" s="4" t="inlineStr">
        <is>
          <t>/staff-change-requests/:id/approve</t>
        </is>
      </c>
      <c r="E39" s="4" t="inlineStr">
        <is>
          <t>지점</t>
        </is>
      </c>
      <c r="F39" s="10" t="inlineStr">
        <is>
          <t>구현(API+화면: 관리자 웹)</t>
        </is>
      </c>
    </row>
    <row r="40">
      <c r="A40" s="4" t="inlineStr">
        <is>
          <t>STF-FN-13</t>
        </is>
      </c>
      <c r="B40" s="4" t="inlineStr">
        <is>
          <t>인사 변경 반려(사유)</t>
        </is>
      </c>
      <c r="C40" s="4" t="inlineStr">
        <is>
          <t>PATCH</t>
        </is>
      </c>
      <c r="D40" s="4" t="inlineStr">
        <is>
          <t>/staff-change-requests/:id/reject</t>
        </is>
      </c>
      <c r="E40" s="4" t="inlineStr">
        <is>
          <t>지점</t>
        </is>
      </c>
      <c r="F40" s="10" t="inlineStr">
        <is>
          <t>구현(API+화면: 관리자 웹)</t>
        </is>
      </c>
    </row>
    <row r="41">
      <c r="A41" s="4" t="inlineStr">
        <is>
          <t>STF-FN-14</t>
        </is>
      </c>
      <c r="B41" s="4" t="inlineStr">
        <is>
          <t>내 인사 변경 신청 목록</t>
        </is>
      </c>
      <c r="C41" s="4" t="inlineStr">
        <is>
          <t>GET</t>
        </is>
      </c>
      <c r="D41" s="4" t="inlineStr">
        <is>
          <t>/staff-change-requests/mine</t>
        </is>
      </c>
      <c r="E41" s="4" t="inlineStr">
        <is>
          <t>직원</t>
        </is>
      </c>
      <c r="F41" s="10" t="inlineStr">
        <is>
          <t>구현(API+화면: 관리자 웹)</t>
        </is>
      </c>
    </row>
    <row r="43">
      <c r="A43" s="5" t="inlineStr">
        <is>
          <t>설계 결정(ADR)</t>
        </is>
      </c>
    </row>
    <row r="44">
      <c r="A44" s="6" t="inlineStr">
        <is>
          <t>ADR</t>
        </is>
      </c>
      <c r="B44" s="6" t="inlineStr">
        <is>
          <t>결정</t>
        </is>
      </c>
      <c r="C44" s="6" t="inlineStr"/>
      <c r="D44" s="6" t="inlineStr"/>
      <c r="E44" s="6" t="inlineStr"/>
      <c r="F44" s="6" t="inlineStr">
        <is>
          <t>상태</t>
        </is>
      </c>
    </row>
    <row r="45">
      <c r="A45" s="4" t="inlineStr">
        <is>
          <t>ADR-STF-01</t>
        </is>
      </c>
      <c r="B45" s="4" t="inlineStr">
        <is>
          <t>퇴사·파견 발령은 단일 DB 트랜잭션</t>
        </is>
      </c>
      <c r="C45" s="14" t="n"/>
      <c r="D45" s="14" t="n"/>
      <c r="E45" s="15" t="n"/>
      <c r="F45" s="10" t="inlineStr">
        <is>
          <t>구현(D30)</t>
        </is>
      </c>
    </row>
    <row r="46">
      <c r="A46" s="4" t="inlineStr">
        <is>
          <t>ADR-STF-02</t>
        </is>
      </c>
      <c r="B46" s="4" t="inlineStr">
        <is>
          <t>staffCode 채번 — 시퀀스 테이블 + 행 락(allocateBranchCode)</t>
        </is>
      </c>
      <c r="C46" s="14" t="n"/>
      <c r="D46" s="14" t="n"/>
      <c r="E46" s="15" t="n"/>
      <c r="F46" s="10" t="inlineStr">
        <is>
          <t>구현(D28·D30)</t>
        </is>
      </c>
    </row>
    <row r="47">
      <c r="A47" s="4" t="inlineStr">
        <is>
          <t>ADR-STF-03</t>
        </is>
      </c>
      <c r="B47" s="4" t="inlineStr">
        <is>
          <t>활성 파견 유일성 — 부분 unique 인덱스</t>
        </is>
      </c>
      <c r="C47" s="14" t="n"/>
      <c r="D47" s="14" t="n"/>
      <c r="E47" s="15" t="n"/>
      <c r="F47" s="10" t="inlineStr">
        <is>
          <t>구현(D27)</t>
        </is>
      </c>
    </row>
    <row r="48">
      <c r="A48" s="4" t="inlineStr">
        <is>
          <t>ADR-STF-04</t>
        </is>
      </c>
      <c r="B48" s="4" t="inlineStr">
        <is>
          <t>파견 발령 시 담당 회원·강사 프로필 해제(같은 트랜잭션)</t>
        </is>
      </c>
      <c r="C48" s="14" t="n"/>
      <c r="D48" s="14" t="n"/>
      <c r="E48" s="15" t="n"/>
      <c r="F48" s="10" t="inlineStr">
        <is>
          <t>구현(D30, DI-02)</t>
        </is>
      </c>
    </row>
    <row r="49">
      <c r="A49" s="4" t="inlineStr">
        <is>
          <t>ADR-STF-05</t>
        </is>
      </c>
      <c r="B49" s="4" t="inlineStr">
        <is>
          <t>계약 종료 지점으로의 채용·파견 발령은 409(떠나는 재배치는 허용)</t>
        </is>
      </c>
      <c r="C49" s="14" t="n"/>
      <c r="D49" s="14" t="n"/>
      <c r="E49" s="15" t="n"/>
      <c r="F49" s="10" t="inlineStr">
        <is>
          <t>구현(log/090)</t>
        </is>
      </c>
    </row>
    <row r="50">
      <c r="A50" s="4" t="inlineStr">
        <is>
          <t>ADR-STF-06</t>
        </is>
      </c>
      <c r="B50" s="4" t="inlineStr">
        <is>
          <t>퇴사 시 담당 회원 해제(같은 트랜잭션, 응답에 목록)</t>
        </is>
      </c>
      <c r="C50" s="14" t="n"/>
      <c r="D50" s="14" t="n"/>
      <c r="E50" s="15" t="n"/>
      <c r="F50" s="10" t="inlineStr">
        <is>
          <t>구현(log/093)</t>
        </is>
      </c>
    </row>
    <row r="51">
      <c r="A51" s="4" t="inlineStr">
        <is>
          <t>ADR-STF-07</t>
        </is>
      </c>
      <c r="B51" s="4" t="inlineStr">
        <is>
          <t>지점 TERMINATED 전이 시 진행 중 파견 자동 종료 + 지점 행 락</t>
        </is>
      </c>
      <c r="C51" s="14" t="n"/>
      <c r="D51" s="14" t="n"/>
      <c r="E51" s="15" t="n"/>
      <c r="F51" s="10" t="inlineStr">
        <is>
          <t>구현(log/099, 화면 log/103)</t>
        </is>
      </c>
    </row>
    <row r="52">
      <c r="A52" s="4" t="inlineStr">
        <is>
          <t>ADR-STF-08</t>
        </is>
      </c>
      <c r="B52" s="4" t="inlineStr">
        <is>
          <t>재배치 대기 목록(?unassigned=true) + 본사의 종료 지점 직원 퇴사</t>
        </is>
      </c>
      <c r="C52" s="14" t="n"/>
      <c r="D52" s="14" t="n"/>
      <c r="E52" s="15" t="n"/>
      <c r="F52" s="10" t="inlineStr">
        <is>
          <t>구현(log/103)</t>
        </is>
      </c>
    </row>
    <row r="53">
      <c r="A53" s="4" t="inlineStr">
        <is>
          <t>ADR-STF-09</t>
        </is>
      </c>
      <c r="B53" s="4" t="inlineStr">
        <is>
          <t>인사 변경 신청(이름·연락처) → 지점 관리자 1단계 승인(D11), 항목당 대기 1건</t>
        </is>
      </c>
      <c r="C53" s="14" t="n"/>
      <c r="D53" s="14" t="n"/>
      <c r="E53" s="15" t="n"/>
      <c r="F53" s="10" t="inlineStr">
        <is>
          <t>구현(log/118)</t>
        </is>
      </c>
    </row>
    <row r="55">
      <c r="A55" s="5" t="inlineStr">
        <is>
          <t>미구현·범위 제외(도메인 문서 기준)</t>
        </is>
      </c>
    </row>
    <row r="56" ht="30" customHeight="1">
      <c r="A56" s="16" t="inlineStr">
        <is>
          <t>계정만 정지하는 기능(퇴사와 별개, ADR-STF-08에서 기각). 연락처 목록 마스킹은 회원관리 ADR-MEM-04로 구현</t>
        </is>
      </c>
    </row>
  </sheetData>
  <mergeCells count="24">
    <mergeCell ref="B7:F7"/>
    <mergeCell ref="C17:F17"/>
    <mergeCell ref="B49:E49"/>
    <mergeCell ref="A56:F56"/>
    <mergeCell ref="B51:E51"/>
    <mergeCell ref="B45:E45"/>
    <mergeCell ref="B50:E50"/>
    <mergeCell ref="C15:F15"/>
    <mergeCell ref="B47:E47"/>
    <mergeCell ref="B8:F8"/>
    <mergeCell ref="B46:E46"/>
    <mergeCell ref="B22:E22"/>
    <mergeCell ref="C14:F14"/>
    <mergeCell ref="B10:F10"/>
    <mergeCell ref="B52:E52"/>
    <mergeCell ref="B21:E21"/>
    <mergeCell ref="B48:E48"/>
    <mergeCell ref="C16:F16"/>
    <mergeCell ref="B9:F9"/>
    <mergeCell ref="B23:E23"/>
    <mergeCell ref="B6:F6"/>
    <mergeCell ref="B24:F24"/>
    <mergeCell ref="B53:E53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근태관리 — 요구사항</t>
        </is>
      </c>
    </row>
    <row r="2">
      <c r="A2" s="2" t="inlineStr">
        <is>
          <t>원천: docs/domains/근태관리.md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직원으로서, 출근/퇴근 시 앱(또는 웹)에서 버튼 하나로 체크인/아웃하고 싶다.</t>
        </is>
      </c>
    </row>
    <row r="6">
      <c r="A6" s="13" t="inlineStr">
        <is>
          <t>•</t>
        </is>
      </c>
      <c r="B6" s="13" t="inlineStr">
        <is>
          <t>직원으로서, 연차를 신청하면 지점 관리자가 승인/반려할 수 있길 원한다.</t>
        </is>
      </c>
    </row>
    <row r="7">
      <c r="A7" s="13" t="inlineStr">
        <is>
          <t>•</t>
        </is>
      </c>
      <c r="B7" s="13" t="inlineStr">
        <is>
          <t>지점 관리자로서, 우리 지점 직원들의 이번 달 근태 현황(지각/결근/휴가)을 한눈에 보고 싶다.</t>
        </is>
      </c>
    </row>
    <row r="8">
      <c r="A8" s="13" t="inlineStr">
        <is>
          <t>•</t>
        </is>
      </c>
      <c r="B8" s="13" t="inlineStr">
        <is>
          <t>직원으로서, 오늘 업무일지를 작성해 관리자와 공유하고 싶다.</t>
        </is>
      </c>
    </row>
    <row r="10">
      <c r="A10" s="5" t="inlineStr">
        <is>
          <t>원문 요구(RFP 기반 재분류)</t>
        </is>
      </c>
    </row>
    <row r="11">
      <c r="A11" s="6" t="inlineStr">
        <is>
          <t>요구사항 ID</t>
        </is>
      </c>
      <c r="B11" s="6" t="inlineStr">
        <is>
          <t>구분</t>
        </is>
      </c>
      <c r="C11" s="6" t="inlineStr">
        <is>
          <t>내용</t>
        </is>
      </c>
      <c r="D11" s="6" t="inlineStr"/>
      <c r="E11" s="6" t="inlineStr"/>
      <c r="F11" s="6" t="inlineStr"/>
    </row>
    <row r="12">
      <c r="A12" s="4" t="inlineStr">
        <is>
          <t>F03a</t>
        </is>
      </c>
      <c r="B12" s="4" t="inlineStr">
        <is>
          <t>기능</t>
        </is>
      </c>
      <c r="C12" s="4" t="inlineStr">
        <is>
          <t>현장별 &gt; 개인별 근태 등록 관리</t>
        </is>
      </c>
      <c r="D12" s="14" t="n"/>
      <c r="E12" s="14" t="n"/>
      <c r="F12" s="15" t="n"/>
    </row>
    <row r="13">
      <c r="A13" s="4" t="inlineStr">
        <is>
          <t>F03b</t>
        </is>
      </c>
      <c r="B13" s="4" t="inlineStr">
        <is>
          <t>기능</t>
        </is>
      </c>
      <c r="C13" s="4" t="inlineStr">
        <is>
          <t>휴무·연차·병가 등 기록 및 일수 관리</t>
        </is>
      </c>
      <c r="D13" s="14" t="n"/>
      <c r="E13" s="14" t="n"/>
      <c r="F13" s="15" t="n"/>
    </row>
    <row r="14">
      <c r="A14" s="4" t="inlineStr">
        <is>
          <t>F03c</t>
        </is>
      </c>
      <c r="B14" s="4" t="inlineStr">
        <is>
          <t>기능</t>
        </is>
      </c>
      <c r="C14" s="4" t="inlineStr">
        <is>
          <t>업무일지 작성 관리</t>
        </is>
      </c>
      <c r="D14" s="14" t="n"/>
      <c r="E14" s="14" t="n"/>
      <c r="F14" s="15" t="n"/>
    </row>
    <row r="15">
      <c r="A15" s="4" t="inlineStr">
        <is>
          <t>ATT-C04</t>
        </is>
      </c>
      <c r="B15" s="4" t="inlineStr">
        <is>
          <t>제약</t>
        </is>
      </c>
      <c r="C15" s="4" t="inlineStr">
        <is>
          <t>C01(과업 기간)이 간접 제약: 다단계 연차 결재라인·정밀 법정 산정(회계연도 이월/소멸 등)은 1인 개발 범위를 넘어 단순화했다(§0).</t>
        </is>
      </c>
      <c r="D15" s="14" t="n"/>
      <c r="E15" s="14" t="n"/>
      <c r="F15" s="15" t="n"/>
    </row>
    <row r="17">
      <c r="A17" s="5" t="inlineStr">
        <is>
          <t>불변규칙(협의 불가)</t>
        </is>
      </c>
    </row>
    <row r="18">
      <c r="A18" s="6" t="inlineStr">
        <is>
          <t>요구사항 ID</t>
        </is>
      </c>
      <c r="B18" s="6" t="inlineStr">
        <is>
          <t>규칙</t>
        </is>
      </c>
      <c r="C18" s="6" t="inlineStr"/>
      <c r="D18" s="6" t="inlineStr"/>
      <c r="E18" s="6" t="inlineStr"/>
      <c r="F18" s="6" t="inlineStr">
        <is>
          <t>검증</t>
        </is>
      </c>
    </row>
    <row r="19">
      <c r="A19" s="4" t="inlineStr">
        <is>
          <t>ATT-INV-01</t>
        </is>
      </c>
      <c r="B19" s="4" t="inlineStr">
        <is>
          <t>같은 직원이 같은 날짜에 두 번 체크인할 수 없다. (ALREADY_CHECKED_IN — 하루 1레코드라는 데이터 모델 자체가 이걸 전제한다)</t>
        </is>
      </c>
      <c r="C19" s="14" t="n"/>
      <c r="D19" s="14" t="n"/>
      <c r="E19" s="15" t="n"/>
      <c r="F19" s="4" t="inlineStr">
        <is>
          <t>자동 테스트</t>
        </is>
      </c>
    </row>
    <row r="20">
      <c r="A20" s="4" t="inlineStr">
        <is>
          <t>ATT-INV-02</t>
        </is>
      </c>
      <c r="B20" s="4" t="inlineStr">
        <is>
          <t>연차(ANNUAL) 승인 없이는 LeaveBalance.usedDays가 줄어들지 않는다. (신청만으로 차감되면 반려 시 복구 로직이 필요해지고, 그 복구가 실패하는 경로가 곧 데이터 정합성 버그로 이어진다 — 협의 대상이 아니라 설계 원칙)</t>
        </is>
      </c>
      <c r="C20" s="14" t="n"/>
      <c r="D20" s="14" t="n"/>
      <c r="E20" s="15" t="n"/>
      <c r="F20" s="4" t="inlineStr">
        <is>
          <t>자동 테스트</t>
        </is>
      </c>
    </row>
    <row r="21">
      <c r="A21" s="4" t="inlineStr">
        <is>
          <t>ATT-INV-03</t>
        </is>
      </c>
      <c r="B21" s="4" t="inlineStr">
        <is>
          <t>BRANCH_ADMIN·STAFF는 자기 소속 범위를 벗어난 근태·휴가·업무일지에 접근할 수 없다. (CLAUDE.md 4대 불변식 — 지점 데이터 격리)</t>
        </is>
      </c>
      <c r="C21" s="14" t="n"/>
      <c r="D21" s="14" t="n"/>
      <c r="E21" s="15" t="n"/>
      <c r="F21" s="4" t="inlineStr">
        <is>
          <t>자동 테스트</t>
        </is>
      </c>
    </row>
    <row r="22">
      <c r="A22" s="7" t="inlineStr">
        <is>
          <t>관련 테스트</t>
        </is>
      </c>
      <c r="B22" s="13" t="inlineStr">
        <is>
          <t>attendance-rules(동시 체크인·동시 승인·업무일지 1건·지각·KST 연차 연도)·attendance-correction·attendance-absence·attendance-branch-snapshot·kst-date·branch-isolation spec</t>
        </is>
      </c>
    </row>
    <row r="24">
      <c r="A24" s="5" t="inlineStr">
        <is>
          <t>기능 명세(실제 API 기준)</t>
        </is>
      </c>
    </row>
    <row r="25">
      <c r="A25" s="6" t="inlineStr">
        <is>
          <t>요구사항 ID</t>
        </is>
      </c>
      <c r="B25" s="6" t="inlineStr">
        <is>
          <t>기능</t>
        </is>
      </c>
      <c r="C25" s="6" t="inlineStr">
        <is>
          <t>Method</t>
        </is>
      </c>
      <c r="D25" s="6" t="inlineStr">
        <is>
          <t>Endpoint(/api/v1)</t>
        </is>
      </c>
      <c r="E25" s="6" t="inlineStr">
        <is>
          <t>권한</t>
        </is>
      </c>
      <c r="F25" s="6" t="inlineStr">
        <is>
          <t>상태</t>
        </is>
      </c>
    </row>
    <row r="26">
      <c r="A26" s="4" t="inlineStr">
        <is>
          <t>ATT-FN-01</t>
        </is>
      </c>
      <c r="B26" s="4" t="inlineStr">
        <is>
          <t>근태 기록 조회(범위별)</t>
        </is>
      </c>
      <c r="C26" s="4" t="inlineStr">
        <is>
          <t>GET</t>
        </is>
      </c>
      <c r="D26" s="4" t="inlineStr">
        <is>
          <t>/attendance</t>
        </is>
      </c>
      <c r="E26" s="4" t="inlineStr">
        <is>
          <t>본사, 지점, 직원</t>
        </is>
      </c>
      <c r="F26" s="10" t="inlineStr">
        <is>
          <t>구현(API+화면: 관리자 웹)</t>
        </is>
      </c>
    </row>
    <row r="27">
      <c r="A27" s="4" t="inlineStr">
        <is>
          <t>ATT-FN-02</t>
        </is>
      </c>
      <c r="B27" s="4" t="inlineStr">
        <is>
          <t>관리자 근태 정정·누락일 등록 — 사유 필수, 변경 이력 기록(ADR-ATT-04)</t>
        </is>
      </c>
      <c r="C27" s="4" t="inlineStr">
        <is>
          <t>PUT</t>
        </is>
      </c>
      <c r="D27" s="4" t="inlineStr">
        <is>
          <t>/attendance/:staffId/:date</t>
        </is>
      </c>
      <c r="E27" s="4" t="inlineStr">
        <is>
          <t>지점</t>
        </is>
      </c>
      <c r="F27" s="10" t="inlineStr">
        <is>
          <t>구현(API+화면: 관리자 웹)</t>
        </is>
      </c>
    </row>
    <row r="28">
      <c r="A28" s="4" t="inlineStr">
        <is>
          <t>ATT-FN-03</t>
        </is>
      </c>
      <c r="B28" s="4" t="inlineStr">
        <is>
          <t>결근 확정(지점 관리자의 명시적 확정)</t>
        </is>
      </c>
      <c r="C28" s="4" t="inlineStr">
        <is>
          <t>POST</t>
        </is>
      </c>
      <c r="D28" s="4" t="inlineStr">
        <is>
          <t>/attendance/absence-confirm</t>
        </is>
      </c>
      <c r="E28" s="4" t="inlineStr">
        <is>
          <t>지점</t>
        </is>
      </c>
      <c r="F28" s="10" t="inlineStr">
        <is>
          <t>구현(API+화면: 관리자 웹)</t>
        </is>
      </c>
    </row>
    <row r="29">
      <c r="A29" s="4" t="inlineStr">
        <is>
          <t>ATT-FN-04</t>
        </is>
      </c>
      <c r="B29" s="4" t="inlineStr">
        <is>
          <t>결근 예정 미리보기(저장 안 함)</t>
        </is>
      </c>
      <c r="C29" s="4" t="inlineStr">
        <is>
          <t>GET</t>
        </is>
      </c>
      <c r="D29" s="4" t="inlineStr">
        <is>
          <t>/attendance/absence-preview</t>
        </is>
      </c>
      <c r="E29" s="4" t="inlineStr">
        <is>
          <t>본사, 지점</t>
        </is>
      </c>
      <c r="F29" s="10" t="inlineStr">
        <is>
          <t>구현(API+화면: 관리자 웹)</t>
        </is>
      </c>
    </row>
    <row r="30">
      <c r="A30" s="4" t="inlineStr">
        <is>
          <t>ATT-FN-05</t>
        </is>
      </c>
      <c r="B30" s="4" t="inlineStr">
        <is>
          <t>출근 체크 — 하루 1회, 지각 자동 판정</t>
        </is>
      </c>
      <c r="C30" s="4" t="inlineStr">
        <is>
          <t>POST</t>
        </is>
      </c>
      <c r="D30" s="4" t="inlineStr">
        <is>
          <t>/attendance/check-in</t>
        </is>
      </c>
      <c r="E30" s="4" t="inlineStr">
        <is>
          <t>지점, 직원</t>
        </is>
      </c>
      <c r="F30" s="10" t="inlineStr">
        <is>
          <t>구현(API+화면: 관리자 웹)</t>
        </is>
      </c>
    </row>
    <row r="31">
      <c r="A31" s="4" t="inlineStr">
        <is>
          <t>ATT-FN-06</t>
        </is>
      </c>
      <c r="B31" s="4" t="inlineStr">
        <is>
          <t>퇴근 체크</t>
        </is>
      </c>
      <c r="C31" s="4" t="inlineStr">
        <is>
          <t>POST</t>
        </is>
      </c>
      <c r="D31" s="4" t="inlineStr">
        <is>
          <t>/attendance/check-out</t>
        </is>
      </c>
      <c r="E31" s="4" t="inlineStr">
        <is>
          <t>지점, 직원</t>
        </is>
      </c>
      <c r="F31" s="10" t="inlineStr">
        <is>
          <t>구현(API+화면: 관리자 웹)</t>
        </is>
      </c>
    </row>
    <row r="32">
      <c r="A32" s="4" t="inlineStr">
        <is>
          <t>ATT-FN-07</t>
        </is>
      </c>
      <c r="B32" s="4" t="inlineStr">
        <is>
          <t>지점 월별 근태 요약</t>
        </is>
      </c>
      <c r="C32" s="4" t="inlineStr">
        <is>
          <t>GET</t>
        </is>
      </c>
      <c r="D32" s="4" t="inlineStr">
        <is>
          <t>/attendance/summary</t>
        </is>
      </c>
      <c r="E32" s="4" t="inlineStr">
        <is>
          <t>본사, 지점</t>
        </is>
      </c>
      <c r="F32" s="10" t="inlineStr">
        <is>
          <t>구현(API+화면: 관리자 웹)</t>
        </is>
      </c>
    </row>
    <row r="33">
      <c r="A33" s="4" t="inlineStr">
        <is>
          <t>ATT-FN-08</t>
        </is>
      </c>
      <c r="B33" s="4" t="inlineStr">
        <is>
          <t>휴가 신청 목록</t>
        </is>
      </c>
      <c r="C33" s="4" t="inlineStr">
        <is>
          <t>GET</t>
        </is>
      </c>
      <c r="D33" s="4" t="inlineStr">
        <is>
          <t>/leave-requests</t>
        </is>
      </c>
      <c r="E33" s="4" t="inlineStr">
        <is>
          <t>본사, 지점, 직원</t>
        </is>
      </c>
      <c r="F33" s="10" t="inlineStr">
        <is>
          <t>구현(API+화면: 관리자 웹)</t>
        </is>
      </c>
    </row>
    <row r="34">
      <c r="A34" s="4" t="inlineStr">
        <is>
          <t>ATT-FN-09</t>
        </is>
      </c>
      <c r="B34" s="4" t="inlineStr">
        <is>
          <t>휴가 신청</t>
        </is>
      </c>
      <c r="C34" s="4" t="inlineStr">
        <is>
          <t>POST</t>
        </is>
      </c>
      <c r="D34" s="4" t="inlineStr">
        <is>
          <t>/leave-requests</t>
        </is>
      </c>
      <c r="E34" s="4" t="inlineStr">
        <is>
          <t>지점, 직원</t>
        </is>
      </c>
      <c r="F34" s="10" t="inlineStr">
        <is>
          <t>구현(API+화면: 관리자 웹)</t>
        </is>
      </c>
    </row>
    <row r="35">
      <c r="A35" s="4" t="inlineStr">
        <is>
          <t>ATT-FN-10</t>
        </is>
      </c>
      <c r="B35" s="4" t="inlineStr">
        <is>
          <t>휴가 승인 — 승인 시점에 연차 차감</t>
        </is>
      </c>
      <c r="C35" s="4" t="inlineStr">
        <is>
          <t>PATCH</t>
        </is>
      </c>
      <c r="D35" s="4" t="inlineStr">
        <is>
          <t>/leave-requests/:id/approve</t>
        </is>
      </c>
      <c r="E35" s="4" t="inlineStr">
        <is>
          <t>지점</t>
        </is>
      </c>
      <c r="F35" s="10" t="inlineStr">
        <is>
          <t>구현(API+화면: 관리자 웹)</t>
        </is>
      </c>
    </row>
    <row r="36">
      <c r="A36" s="4" t="inlineStr">
        <is>
          <t>ATT-FN-11</t>
        </is>
      </c>
      <c r="B36" s="4" t="inlineStr">
        <is>
          <t>휴가 반려</t>
        </is>
      </c>
      <c r="C36" s="4" t="inlineStr">
        <is>
          <t>PATCH</t>
        </is>
      </c>
      <c r="D36" s="4" t="inlineStr">
        <is>
          <t>/leave-requests/:id/reject</t>
        </is>
      </c>
      <c r="E36" s="4" t="inlineStr">
        <is>
          <t>지점</t>
        </is>
      </c>
      <c r="F36" s="10" t="inlineStr">
        <is>
          <t>구현(API+화면: 관리자 웹)</t>
        </is>
      </c>
    </row>
    <row r="37">
      <c r="A37" s="4" t="inlineStr">
        <is>
          <t>ATT-FN-12</t>
        </is>
      </c>
      <c r="B37" s="4" t="inlineStr">
        <is>
          <t>연차 잔여 조회</t>
        </is>
      </c>
      <c r="C37" s="4" t="inlineStr">
        <is>
          <t>GET</t>
        </is>
      </c>
      <c r="D37" s="4" t="inlineStr">
        <is>
          <t>/leave-balance/:staffId</t>
        </is>
      </c>
      <c r="E37" s="4" t="inlineStr">
        <is>
          <t>본사, 지점, 직원</t>
        </is>
      </c>
      <c r="F37" s="10" t="inlineStr">
        <is>
          <t>구현(API+화면: 관리자 웹)</t>
        </is>
      </c>
    </row>
    <row r="38">
      <c r="A38" s="4" t="inlineStr">
        <is>
          <t>ATT-FN-13</t>
        </is>
      </c>
      <c r="B38" s="4" t="inlineStr">
        <is>
          <t>업무일지 조회</t>
        </is>
      </c>
      <c r="C38" s="4" t="inlineStr">
        <is>
          <t>GET</t>
        </is>
      </c>
      <c r="D38" s="4" t="inlineStr">
        <is>
          <t>/work-logs</t>
        </is>
      </c>
      <c r="E38" s="4" t="inlineStr">
        <is>
          <t>본사, 지점, 직원</t>
        </is>
      </c>
      <c r="F38" s="10" t="inlineStr">
        <is>
          <t>구현(API+화면: 관리자 웹)</t>
        </is>
      </c>
    </row>
    <row r="39">
      <c r="A39" s="4" t="inlineStr">
        <is>
          <t>ATT-FN-14</t>
        </is>
      </c>
      <c r="B39" s="4" t="inlineStr">
        <is>
          <t>업무일지 작성(하루 1건)</t>
        </is>
      </c>
      <c r="C39" s="4" t="inlineStr">
        <is>
          <t>POST</t>
        </is>
      </c>
      <c r="D39" s="4" t="inlineStr">
        <is>
          <t>/work-logs</t>
        </is>
      </c>
      <c r="E39" s="4" t="inlineStr">
        <is>
          <t>지점, 직원</t>
        </is>
      </c>
      <c r="F39" s="10" t="inlineStr">
        <is>
          <t>구현(API+화면: 관리자 웹)</t>
        </is>
      </c>
    </row>
    <row r="41">
      <c r="A41" s="5" t="inlineStr">
        <is>
          <t>설계 결정(ADR)</t>
        </is>
      </c>
    </row>
    <row r="42">
      <c r="A42" s="6" t="inlineStr">
        <is>
          <t>ADR</t>
        </is>
      </c>
      <c r="B42" s="6" t="inlineStr">
        <is>
          <t>결정</t>
        </is>
      </c>
      <c r="C42" s="6" t="inlineStr"/>
      <c r="D42" s="6" t="inlineStr"/>
      <c r="E42" s="6" t="inlineStr"/>
      <c r="F42" s="6" t="inlineStr">
        <is>
          <t>상태</t>
        </is>
      </c>
    </row>
    <row r="43">
      <c r="A43" s="4" t="inlineStr">
        <is>
          <t>ADR-ATT-01</t>
        </is>
      </c>
      <c r="B43" s="4" t="inlineStr">
        <is>
          <t>연차 차감은 승인 시점에만(반려 복구 로직 불필요)</t>
        </is>
      </c>
      <c r="C43" s="14" t="n"/>
      <c r="D43" s="14" t="n"/>
      <c r="E43" s="15" t="n"/>
      <c r="F43" s="10" t="inlineStr">
        <is>
          <t>구현</t>
        </is>
      </c>
    </row>
    <row r="44">
      <c r="A44" s="4" t="inlineStr">
        <is>
          <t>ADR-ATT-02</t>
        </is>
      </c>
      <c r="B44" s="4" t="inlineStr">
        <is>
          <t>결근은 관리자의 명시적 확정 액션(배치 아님)</t>
        </is>
      </c>
      <c r="C44" s="14" t="n"/>
      <c r="D44" s="14" t="n"/>
      <c r="E44" s="15" t="n"/>
      <c r="F44" s="10" t="inlineStr">
        <is>
          <t>구현</t>
        </is>
      </c>
    </row>
    <row r="45">
      <c r="A45" s="4" t="inlineStr">
        <is>
          <t>ADR-ATT-03</t>
        </is>
      </c>
      <c r="B45" s="4" t="inlineStr">
        <is>
          <t>근태 기록 지점 귀속 — 그 날짜의 파견 지점 스냅샷</t>
        </is>
      </c>
      <c r="C45" s="14" t="n"/>
      <c r="D45" s="14" t="n"/>
      <c r="E45" s="15" t="n"/>
      <c r="F45" s="10" t="inlineStr">
        <is>
          <t>구현</t>
        </is>
      </c>
    </row>
    <row r="46">
      <c r="A46" s="4" t="inlineStr">
        <is>
          <t>ADR-ATT-04</t>
        </is>
      </c>
      <c r="B46" s="4" t="inlineStr">
        <is>
          <t>지점 관리자의 근태 정정·누락일 등록(사유 필수, 변경 이력 D52)</t>
        </is>
      </c>
      <c r="C46" s="14" t="n"/>
      <c r="D46" s="14" t="n"/>
      <c r="E46" s="15" t="n"/>
      <c r="F46" s="10" t="inlineStr">
        <is>
          <t>구현(log/117)</t>
        </is>
      </c>
    </row>
  </sheetData>
  <mergeCells count="16">
    <mergeCell ref="C13:F13"/>
    <mergeCell ref="B20:E20"/>
    <mergeCell ref="B45:E45"/>
    <mergeCell ref="B7:F7"/>
    <mergeCell ref="B6:F6"/>
    <mergeCell ref="B43:E43"/>
    <mergeCell ref="C12:F12"/>
    <mergeCell ref="B21:E21"/>
    <mergeCell ref="B5:F5"/>
    <mergeCell ref="B44:E44"/>
    <mergeCell ref="C15:F15"/>
    <mergeCell ref="B19:E19"/>
    <mergeCell ref="B8:F8"/>
    <mergeCell ref="B22:F22"/>
    <mergeCell ref="B46:E46"/>
    <mergeCell ref="C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게시판 — 요구사항</t>
        </is>
      </c>
    </row>
    <row r="2">
      <c r="A2" s="2" t="inlineStr">
        <is>
          <t>원천: docs/domains/게시판.md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본사 관리자로서, 전 지점(또는 특정 지점)에 공지를 올리고 필요시 교육자료 파일을 첨부하고 싶다.</t>
        </is>
      </c>
    </row>
    <row r="6">
      <c r="A6" s="13" t="inlineStr">
        <is>
          <t>•</t>
        </is>
      </c>
      <c r="B6" s="13" t="inlineStr">
        <is>
          <t>지점 관리자로서, 본사 공지를 확인하고 우리 지점 회원들에게 전달할 공지를 따로 작성하고 싶다.</t>
        </is>
      </c>
    </row>
    <row r="7">
      <c r="A7" s="13" t="inlineStr">
        <is>
          <t>•</t>
        </is>
      </c>
      <c r="B7" s="13" t="inlineStr">
        <is>
          <t>회원으로서, 내가 다니는 지점의 공지사항을 앱에서 확인하고 싶다.</t>
        </is>
      </c>
    </row>
    <row r="9">
      <c r="A9" s="5" t="inlineStr">
        <is>
          <t>원문 요구(RFP 기반 재분류)</t>
        </is>
      </c>
    </row>
    <row r="10">
      <c r="A10" s="6" t="inlineStr">
        <is>
          <t>요구사항 ID</t>
        </is>
      </c>
      <c r="B10" s="6" t="inlineStr">
        <is>
          <t>구분</t>
        </is>
      </c>
      <c r="C10" s="6" t="inlineStr">
        <is>
          <t>내용</t>
        </is>
      </c>
      <c r="D10" s="6" t="inlineStr"/>
      <c r="E10" s="6" t="inlineStr"/>
      <c r="F10" s="6" t="inlineStr"/>
    </row>
    <row r="11">
      <c r="A11" s="4" t="inlineStr">
        <is>
          <t>F04a</t>
        </is>
      </c>
      <c r="B11" s="4" t="inlineStr">
        <is>
          <t>기능</t>
        </is>
      </c>
      <c r="C11" s="4" t="inlineStr">
        <is>
          <t>본사→현장(HQ_TO_BRANCH), 현장→이용자(BRANCH_TO_MEMBER) 별도 게시판</t>
        </is>
      </c>
      <c r="D11" s="14" t="n"/>
      <c r="E11" s="14" t="n"/>
      <c r="F11" s="15" t="n"/>
    </row>
    <row r="12">
      <c r="A12" s="4" t="inlineStr">
        <is>
          <t>F04b</t>
        </is>
      </c>
      <c r="B12" s="4" t="inlineStr">
        <is>
          <t>기능</t>
        </is>
      </c>
      <c r="C12" s="4" t="inlineStr">
        <is>
          <t>본사→현장 게시판에 교육 매뉴얼/자료 탑재</t>
        </is>
      </c>
      <c r="D12" s="14" t="n"/>
      <c r="E12" s="14" t="n"/>
      <c r="F12" s="15" t="n"/>
    </row>
    <row r="13">
      <c r="A13" s="4" t="inlineStr">
        <is>
          <t>F04c</t>
        </is>
      </c>
      <c r="B13" s="4" t="inlineStr">
        <is>
          <t>기능</t>
        </is>
      </c>
      <c r="C13" s="4" t="inlineStr">
        <is>
          <t>팀장급 직원 대상 2회 이상 대면 교육 실적 기록(산출물4 근거)</t>
        </is>
      </c>
      <c r="D13" s="14" t="n"/>
      <c r="E13" s="14" t="n"/>
      <c r="F13" s="15" t="n"/>
    </row>
    <row r="14">
      <c r="A14" s="4" t="inlineStr">
        <is>
          <t>BRD-C04</t>
        </is>
      </c>
      <c r="B14" s="4" t="inlineStr">
        <is>
          <t>제약</t>
        </is>
      </c>
      <c r="C14" s="4" t="inlineStr">
        <is>
          <t>첨부파일 실제 업로드 인프라(용량 제한·확장자 검증·스토리지)는 이번 범위에서 제외 — 부록 A-8이 이미 명시, 문서관리(1-10)와 동일하게 URL 방식으로 대체 가능.</t>
        </is>
      </c>
      <c r="D14" s="14" t="n"/>
      <c r="E14" s="14" t="n"/>
      <c r="F14" s="15" t="n"/>
    </row>
    <row r="16">
      <c r="A16" s="5" t="inlineStr">
        <is>
          <t>불변규칙(협의 불가)</t>
        </is>
      </c>
    </row>
    <row r="17">
      <c r="A17" s="6" t="inlineStr">
        <is>
          <t>요구사항 ID</t>
        </is>
      </c>
      <c r="B17" s="6" t="inlineStr">
        <is>
          <t>규칙</t>
        </is>
      </c>
      <c r="C17" s="6" t="inlineStr"/>
      <c r="D17" s="6" t="inlineStr"/>
      <c r="E17" s="6" t="inlineStr"/>
      <c r="F17" s="6" t="inlineStr">
        <is>
          <t>검증</t>
        </is>
      </c>
    </row>
    <row r="18">
      <c r="A18" s="4" t="inlineStr">
        <is>
          <t>BRD-INV-01</t>
        </is>
      </c>
      <c r="B18" s="4" t="inlineStr">
        <is>
          <t>BRANCH_TO_MEMBER 게시글은 작성 지점 회원에게만 노출된다. (CLAUDE.md 지점 데이터 격리 정신의 연장 — 타 지점 공지가 새어나가면 안 됨)</t>
        </is>
      </c>
      <c r="C18" s="14" t="n"/>
      <c r="D18" s="14" t="n"/>
      <c r="E18" s="15" t="n"/>
      <c r="F18" s="4" t="inlineStr">
        <is>
          <t>자동 테스트</t>
        </is>
      </c>
    </row>
    <row r="19">
      <c r="A19" s="4" t="inlineStr">
        <is>
          <t>BRD-INV-02</t>
        </is>
      </c>
      <c r="B19" s="4" t="inlineStr">
        <is>
          <t>회원(Role=MEMBER)은 직원 대상 내부 공지를 볼 수 없다. (부록 A-7이 이미 "HQ 공지는 기본적으로 직원 대상, 회원에게는 비공개가 기본값"이라고 명시 — 협의 대상이 아니라 이미 확정된 요구사항)</t>
        </is>
      </c>
      <c r="C19" s="14" t="n"/>
      <c r="D19" s="14" t="n"/>
      <c r="E19" s="15" t="n"/>
      <c r="F19" s="4" t="inlineStr">
        <is>
          <t>자동 테스트</t>
        </is>
      </c>
    </row>
    <row r="20">
      <c r="A20" s="7" t="inlineStr">
        <is>
          <t>관련 테스트</t>
        </is>
      </c>
      <c r="B20" s="13" t="inlineStr">
        <is>
          <t>post-attachments·post-rules(동시 조회수·소프트 삭제·수정/삭제 권한·작성 범위)·posts-member-visibility·contract-termination·branch-isolation spec</t>
        </is>
      </c>
    </row>
    <row r="22">
      <c r="A22" s="5" t="inlineStr">
        <is>
          <t>기능 명세(실제 API 기준)</t>
        </is>
      </c>
    </row>
    <row r="23">
      <c r="A23" s="6" t="inlineStr">
        <is>
          <t>요구사항 ID</t>
        </is>
      </c>
      <c r="B23" s="6" t="inlineStr">
        <is>
          <t>기능</t>
        </is>
      </c>
      <c r="C23" s="6" t="inlineStr">
        <is>
          <t>Method</t>
        </is>
      </c>
      <c r="D23" s="6" t="inlineStr">
        <is>
          <t>Endpoint(/api/v1)</t>
        </is>
      </c>
      <c r="E23" s="6" t="inlineStr">
        <is>
          <t>권한</t>
        </is>
      </c>
      <c r="F23" s="6" t="inlineStr">
        <is>
          <t>상태</t>
        </is>
      </c>
    </row>
    <row r="24">
      <c r="A24" s="4" t="inlineStr">
        <is>
          <t>BRD-FN-01</t>
        </is>
      </c>
      <c r="B24" s="4" t="inlineStr">
        <is>
          <t>게시글 목록 — 범위별 권한, 회원 공개 필터, 페이지네이션</t>
        </is>
      </c>
      <c r="C24" s="4" t="inlineStr">
        <is>
          <t>GET</t>
        </is>
      </c>
      <c r="D24" s="4" t="inlineStr">
        <is>
          <t>/posts</t>
        </is>
      </c>
      <c r="E24" s="4" t="inlineStr">
        <is>
          <t>로그인 사용자</t>
        </is>
      </c>
      <c r="F24" s="10" t="inlineStr">
        <is>
          <t>구현(API+화면: 관리자 웹·회원 웹)</t>
        </is>
      </c>
    </row>
    <row r="25">
      <c r="A25" s="4" t="inlineStr">
        <is>
          <t>BRD-FN-02</t>
        </is>
      </c>
      <c r="B25" s="4" t="inlineStr">
        <is>
          <t>게시글 작성 — 계약 종료 지점 차단</t>
        </is>
      </c>
      <c r="C25" s="4" t="inlineStr">
        <is>
          <t>POST</t>
        </is>
      </c>
      <c r="D25" s="4" t="inlineStr">
        <is>
          <t>/posts</t>
        </is>
      </c>
      <c r="E25" s="4" t="inlineStr">
        <is>
          <t>로그인 사용자</t>
        </is>
      </c>
      <c r="F25" s="10" t="inlineStr">
        <is>
          <t>구현(API+화면: 관리자 웹)</t>
        </is>
      </c>
    </row>
    <row r="26">
      <c r="A26" s="4" t="inlineStr">
        <is>
          <t>BRD-FN-03</t>
        </is>
      </c>
      <c r="B26" s="4" t="inlineStr">
        <is>
          <t>게시글 삭제(소프트, 작성자 또는 본사)</t>
        </is>
      </c>
      <c r="C26" s="4" t="inlineStr">
        <is>
          <t>DELETE</t>
        </is>
      </c>
      <c r="D26" s="4" t="inlineStr">
        <is>
          <t>/posts/:id</t>
        </is>
      </c>
      <c r="E26" s="4" t="inlineStr">
        <is>
          <t>로그인 사용자</t>
        </is>
      </c>
      <c r="F26" s="10" t="inlineStr">
        <is>
          <t>구현(API+화면: 관리자 웹)</t>
        </is>
      </c>
    </row>
    <row r="27">
      <c r="A27" s="4" t="inlineStr">
        <is>
          <t>BRD-FN-04</t>
        </is>
      </c>
      <c r="B27" s="4" t="inlineStr">
        <is>
          <t>게시글 상세 — 조회수 증가</t>
        </is>
      </c>
      <c r="C27" s="4" t="inlineStr">
        <is>
          <t>GET</t>
        </is>
      </c>
      <c r="D27" s="4" t="inlineStr">
        <is>
          <t>/posts/:id</t>
        </is>
      </c>
      <c r="E27" s="4" t="inlineStr">
        <is>
          <t>로그인 사용자</t>
        </is>
      </c>
      <c r="F27" s="10" t="inlineStr">
        <is>
          <t>구현(API+화면: 관리자 웹·회원 웹)</t>
        </is>
      </c>
    </row>
    <row r="28">
      <c r="A28" s="4" t="inlineStr">
        <is>
          <t>BRD-FN-05</t>
        </is>
      </c>
      <c r="B28" s="4" t="inlineStr">
        <is>
          <t>게시글 수정(작성자)</t>
        </is>
      </c>
      <c r="C28" s="4" t="inlineStr">
        <is>
          <t>PATCH</t>
        </is>
      </c>
      <c r="D28" s="4" t="inlineStr">
        <is>
          <t>/posts/:id</t>
        </is>
      </c>
      <c r="E28" s="4" t="inlineStr">
        <is>
          <t>로그인 사용자</t>
        </is>
      </c>
      <c r="F28" s="10" t="inlineStr">
        <is>
          <t>구현(API+화면: 관리자 웹)</t>
        </is>
      </c>
    </row>
    <row r="29">
      <c r="A29" s="4" t="inlineStr">
        <is>
          <t>BRD-FN-06</t>
        </is>
      </c>
      <c r="B29" s="4" t="inlineStr">
        <is>
          <t>첨부 붙이기 — 저장소의 실제 크기·형식 재확인, 글당 5개</t>
        </is>
      </c>
      <c r="C29" s="4" t="inlineStr">
        <is>
          <t>POST</t>
        </is>
      </c>
      <c r="D29" s="4" t="inlineStr">
        <is>
          <t>/posts/:id/attachments</t>
        </is>
      </c>
      <c r="E29" s="4" t="inlineStr">
        <is>
          <t>로그인 사용자</t>
        </is>
      </c>
      <c r="F29" s="10" t="inlineStr">
        <is>
          <t>구현(API+화면: 관리자 웹)</t>
        </is>
      </c>
    </row>
    <row r="30">
      <c r="A30" s="4" t="inlineStr">
        <is>
          <t>BRD-FN-07</t>
        </is>
      </c>
      <c r="B30" s="4" t="inlineStr">
        <is>
          <t>첨부 삭제(작성자 또는 본사)</t>
        </is>
      </c>
      <c r="C30" s="4" t="inlineStr">
        <is>
          <t>DELETE</t>
        </is>
      </c>
      <c r="D30" s="4" t="inlineStr">
        <is>
          <t>/posts/:id/attachments/:attachmentId</t>
        </is>
      </c>
      <c r="E30" s="4" t="inlineStr">
        <is>
          <t>로그인 사용자</t>
        </is>
      </c>
      <c r="F30" s="10" t="inlineStr">
        <is>
          <t>구현(API+화면: 관리자 웹)</t>
        </is>
      </c>
    </row>
    <row r="31">
      <c r="A31" s="4" t="inlineStr">
        <is>
          <t>BRD-FN-08</t>
        </is>
      </c>
      <c r="B31" s="4" t="inlineStr">
        <is>
          <t>첨부 내려받기 URL(글을 볼 수 있는 사람, 60초)</t>
        </is>
      </c>
      <c r="C31" s="4" t="inlineStr">
        <is>
          <t>GET</t>
        </is>
      </c>
      <c r="D31" s="4" t="inlineStr">
        <is>
          <t>/posts/:id/attachments/:attachmentId/download</t>
        </is>
      </c>
      <c r="E31" s="4" t="inlineStr">
        <is>
          <t>로그인 사용자</t>
        </is>
      </c>
      <c r="F31" s="10" t="inlineStr">
        <is>
          <t>구현(API+화면: 관리자 웹·회원 웹)</t>
        </is>
      </c>
    </row>
    <row r="32">
      <c r="A32" s="4" t="inlineStr">
        <is>
          <t>BRD-FN-09</t>
        </is>
      </c>
      <c r="B32" s="4" t="inlineStr">
        <is>
          <t>첨부 업로드 URL 발급(작성자) — 형식·크기·개수 검사, 1회용 서명 URL(ADR-BRD-04·D57)</t>
        </is>
      </c>
      <c r="C32" s="4" t="inlineStr">
        <is>
          <t>POST</t>
        </is>
      </c>
      <c r="D32" s="4" t="inlineStr">
        <is>
          <t>/posts/:id/attachments/upload-url</t>
        </is>
      </c>
      <c r="E32" s="4" t="inlineStr">
        <is>
          <t>로그인 사용자</t>
        </is>
      </c>
      <c r="F32" s="10" t="inlineStr">
        <is>
          <t>구현(API+화면: 관리자 웹)</t>
        </is>
      </c>
    </row>
    <row r="34">
      <c r="A34" s="5" t="inlineStr">
        <is>
          <t>설계 결정(ADR)</t>
        </is>
      </c>
    </row>
    <row r="35">
      <c r="A35" s="6" t="inlineStr">
        <is>
          <t>ADR</t>
        </is>
      </c>
      <c r="B35" s="6" t="inlineStr">
        <is>
          <t>결정</t>
        </is>
      </c>
      <c r="C35" s="6" t="inlineStr"/>
      <c r="D35" s="6" t="inlineStr"/>
      <c r="E35" s="6" t="inlineStr"/>
      <c r="F35" s="6" t="inlineStr">
        <is>
          <t>상태</t>
        </is>
      </c>
    </row>
    <row r="36">
      <c r="A36" s="4" t="inlineStr">
        <is>
          <t>ADR-BRD-01</t>
        </is>
      </c>
      <c r="B36" s="4" t="inlineStr">
        <is>
          <t>회원 대상 공지 가시성 필터 visibleToMember</t>
        </is>
      </c>
      <c r="C36" s="14" t="n"/>
      <c r="D36" s="14" t="n"/>
      <c r="E36" s="15" t="n"/>
      <c r="F36" s="10" t="inlineStr">
        <is>
          <t>구현</t>
        </is>
      </c>
    </row>
    <row r="37">
      <c r="A37" s="4" t="inlineStr">
        <is>
          <t>ADR-BRD-02</t>
        </is>
      </c>
      <c r="B37" s="4" t="inlineStr">
        <is>
          <t>목록 페이지네이션(기본 limit 20)</t>
        </is>
      </c>
      <c r="C37" s="14" t="n"/>
      <c r="D37" s="14" t="n"/>
      <c r="E37" s="15" t="n"/>
      <c r="F37" s="10" t="inlineStr">
        <is>
          <t>구현</t>
        </is>
      </c>
    </row>
    <row r="38">
      <c r="A38" s="4" t="inlineStr">
        <is>
          <t>ADR-BRD-03</t>
        </is>
      </c>
      <c r="B38" s="4" t="inlineStr">
        <is>
          <t>목록 sort=latest(최신순) 선택 — 회원 웹 홈 최근 공지 1회 호출</t>
        </is>
      </c>
      <c r="C38" s="14" t="n"/>
      <c r="D38" s="14" t="n"/>
      <c r="E38" s="15" t="n"/>
      <c r="F38" s="10" t="inlineStr">
        <is>
          <t>구현(B1-3)</t>
        </is>
      </c>
    </row>
    <row r="39">
      <c r="A39" s="4" t="inlineStr">
        <is>
          <t>ADR-BRD-04</t>
        </is>
      </c>
      <c r="B39" s="4" t="inlineStr">
        <is>
          <t>첨부 — 서명 URL로 저장소 직접 업로드·다운로드(D57), 파일당 10MB·글당 5개</t>
        </is>
      </c>
      <c r="C39" s="14" t="n"/>
      <c r="D39" s="14" t="n"/>
      <c r="E39" s="15" t="n"/>
      <c r="F39" s="10" t="inlineStr">
        <is>
          <t>구현(log/121, 배포 저장소 설정 전)</t>
        </is>
      </c>
    </row>
    <row r="41">
      <c r="A41" s="5" t="inlineStr">
        <is>
          <t>미구현·범위 제외(도메인 문서 기준)</t>
        </is>
      </c>
    </row>
    <row r="42" ht="30" customHeight="1">
      <c r="A42" s="16" t="inlineStr">
        <is>
          <t>pinned·읽음 확인(범위 제외), category 필터 UI, TrainingLog</t>
        </is>
      </c>
    </row>
  </sheetData>
  <mergeCells count="15">
    <mergeCell ref="C13:F13"/>
    <mergeCell ref="B36:E36"/>
    <mergeCell ref="B18:E18"/>
    <mergeCell ref="B7:F7"/>
    <mergeCell ref="A42:F42"/>
    <mergeCell ref="B6:F6"/>
    <mergeCell ref="B20:F20"/>
    <mergeCell ref="B37:E37"/>
    <mergeCell ref="C12:F12"/>
    <mergeCell ref="B38:E38"/>
    <mergeCell ref="B5:F5"/>
    <mergeCell ref="B39:E39"/>
    <mergeCell ref="C11:F11"/>
    <mergeCell ref="B19:E19"/>
    <mergeCell ref="C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회원관리 — 요구사항</t>
        </is>
      </c>
    </row>
    <row r="2">
      <c r="A2" s="2" t="inlineStr">
        <is>
          <t>원천: docs/domains/회원관리.md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회원으로서, 앱에서 회원가입 후 내가 다니는 지점을 선택하고 이용을 시작하고 싶다.</t>
        </is>
      </c>
    </row>
    <row r="6">
      <c r="A6" s="13" t="inlineStr">
        <is>
          <t>•</t>
        </is>
      </c>
      <c r="B6" s="13" t="inlineStr">
        <is>
          <t>지점 관리자로서, 신규 방문 회원을 현장에서 직접 등록(오프라인 등록)할 수도 있어야 한다.</t>
        </is>
      </c>
    </row>
    <row r="7">
      <c r="A7" s="13" t="inlineStr">
        <is>
          <t>•</t>
        </is>
      </c>
      <c r="B7" s="13" t="inlineStr">
        <is>
          <t>지점 관리자로서, 회원의 수강/예약/PT 잔여 세션을 한 화면에서 확인하고 싶다.</t>
        </is>
      </c>
    </row>
    <row r="8">
      <c r="A8" s="13" t="inlineStr">
        <is>
          <t>•</t>
        </is>
      </c>
      <c r="B8" s="13" t="inlineStr">
        <is>
          <t>회원으로서, 내 PT 잔여 세션이 몇 회 남았는지 앱에서 확인하고 싶다.</t>
        </is>
      </c>
    </row>
    <row r="10">
      <c r="A10" s="5" t="inlineStr">
        <is>
          <t>원문 요구(RFP 기반 재분류)</t>
        </is>
      </c>
    </row>
    <row r="11">
      <c r="A11" s="6" t="inlineStr">
        <is>
          <t>요구사항 ID</t>
        </is>
      </c>
      <c r="B11" s="6" t="inlineStr">
        <is>
          <t>구분</t>
        </is>
      </c>
      <c r="C11" s="6" t="inlineStr">
        <is>
          <t>내용</t>
        </is>
      </c>
      <c r="D11" s="6" t="inlineStr"/>
      <c r="E11" s="6" t="inlineStr"/>
      <c r="F11" s="6" t="inlineStr"/>
    </row>
    <row r="12">
      <c r="A12" s="4" t="inlineStr">
        <is>
          <t>F05a</t>
        </is>
      </c>
      <c r="B12" s="4" t="inlineStr">
        <is>
          <t>기능</t>
        </is>
      </c>
      <c r="C12" s="4" t="inlineStr">
        <is>
          <t>각 현장별 회원 인적사항·프로그램 수강내역·예약및결제내역·PT잔여세션 기록</t>
        </is>
      </c>
      <c r="D12" s="14" t="n"/>
      <c r="E12" s="14" t="n"/>
      <c r="F12" s="15" t="n"/>
    </row>
    <row r="13">
      <c r="A13" s="4" t="inlineStr">
        <is>
          <t>F05b</t>
        </is>
      </c>
      <c r="B13" s="4" t="inlineStr">
        <is>
          <t>기능</t>
        </is>
      </c>
      <c r="C13" s="4" t="inlineStr">
        <is>
          <t>현장관리자는 해당 현장 회원정보만 확인(타 현장 조회 불가)</t>
        </is>
      </c>
      <c r="D13" s="14" t="n"/>
      <c r="E13" s="14" t="n"/>
      <c r="F13" s="15" t="n"/>
    </row>
    <row r="14">
      <c r="A14" s="4" t="inlineStr">
        <is>
          <t>Q10</t>
        </is>
      </c>
      <c r="B14" s="4" t="inlineStr">
        <is>
          <t>품질</t>
        </is>
      </c>
      <c r="C14" s="4" t="inlineStr">
        <is>
          <t>인사·회원 등 개인정보가 별도 절차 없이 노출되지 않음(전화번호 마스킹 등)</t>
        </is>
      </c>
      <c r="D14" s="14" t="n"/>
      <c r="E14" s="14" t="n"/>
      <c r="F14" s="15" t="n"/>
    </row>
    <row r="15">
      <c r="A15" s="4" t="inlineStr">
        <is>
          <t>Q11</t>
        </is>
      </c>
      <c r="B15" s="4" t="inlineStr">
        <is>
          <t>품질</t>
        </is>
      </c>
      <c r="C15" s="4" t="inlineStr">
        <is>
          <t>접근 통제가 그룹별·개인별·기능별로 구체적이어야 함</t>
        </is>
      </c>
      <c r="D15" s="14" t="n"/>
      <c r="E15" s="14" t="n"/>
      <c r="F15" s="15" t="n"/>
    </row>
    <row r="16">
      <c r="A16" s="4" t="inlineStr">
        <is>
          <t>MEM-C05</t>
        </is>
      </c>
      <c r="B16" s="4" t="inlineStr">
        <is>
          <t>제약</t>
        </is>
      </c>
      <c r="C16" s="4" t="inlineStr">
        <is>
          <t>C03(개인정보보호법 제26조)이 직접 제약: Member는 이 법이 다루는 개인정보 그 자체이고, 본사-지점 위탁관계 하에서 처리된다.</t>
        </is>
      </c>
      <c r="D16" s="14" t="n"/>
      <c r="E16" s="14" t="n"/>
      <c r="F16" s="15" t="n"/>
    </row>
    <row r="18">
      <c r="A18" s="5" t="inlineStr">
        <is>
          <t>불변규칙(협의 불가)</t>
        </is>
      </c>
    </row>
    <row r="19">
      <c r="A19" s="6" t="inlineStr">
        <is>
          <t>요구사항 ID</t>
        </is>
      </c>
      <c r="B19" s="6" t="inlineStr">
        <is>
          <t>규칙</t>
        </is>
      </c>
      <c r="C19" s="6" t="inlineStr"/>
      <c r="D19" s="6" t="inlineStr"/>
      <c r="E19" s="6" t="inlineStr"/>
      <c r="F19" s="6" t="inlineStr">
        <is>
          <t>검증</t>
        </is>
      </c>
    </row>
    <row r="20">
      <c r="A20" s="4" t="inlineStr">
        <is>
          <t>MEM-INV-01</t>
        </is>
      </c>
      <c r="B20" s="4" t="inlineStr">
        <is>
          <t>BRANCH_ADMIN·MEMBER는 자기 소속 범위를 벗어난 회원 데이터에 접근할 수 없다. (CLAUDE.md 4대 불변식 — 지점 데이터 격리. F05b 원문이 괄호로 강조한 그 요구사항)</t>
        </is>
      </c>
      <c r="C20" s="14" t="n"/>
      <c r="D20" s="14" t="n"/>
      <c r="E20" s="15" t="n"/>
      <c r="F20" s="4" t="inlineStr">
        <is>
          <t>자동 테스트</t>
        </is>
      </c>
    </row>
    <row r="21">
      <c r="A21" s="4" t="inlineStr">
        <is>
          <t>MEM-INV-02</t>
        </is>
      </c>
      <c r="B21" s="4" t="inlineStr">
        <is>
          <t>위탁계약이 TERMINATED된 지점에는 신규 회원을 등록할 수 없다. (CLAUDE.md 4대 불변식 — 계약 종료 지점 차단)</t>
        </is>
      </c>
      <c r="C21" s="14" t="n"/>
      <c r="D21" s="14" t="n"/>
      <c r="E21" s="15" t="n"/>
      <c r="F21" s="4" t="inlineStr">
        <is>
          <t>자동 테스트</t>
        </is>
      </c>
    </row>
    <row r="22">
      <c r="A22" s="4" t="inlineStr">
        <is>
          <t>MEM-INV-03</t>
        </is>
      </c>
      <c r="B22" s="4" t="inlineStr">
        <is>
          <t>만 19세 미만 회원은 법정대리인 동의 없이 등록될 수 없다. (민법상 미성년자 단독 계약 취소가능성 — RFP가 아니라 법이 정한 것이라 협의 대상이 아님)</t>
        </is>
      </c>
      <c r="C22" s="14" t="n"/>
      <c r="D22" s="14" t="n"/>
      <c r="E22" s="15" t="n"/>
      <c r="F22" s="4" t="inlineStr">
        <is>
          <t>자동 테스트</t>
        </is>
      </c>
    </row>
    <row r="23">
      <c r="A23" s="7" t="inlineStr">
        <is>
          <t>관련 테스트</t>
        </is>
      </c>
      <c r="B23" s="13" t="inlineStr">
        <is>
          <t>member-register·member-link·branches-public·member-detail-summary·members-validation·phone-masking·phone-view-audit·contract-termination·branch-isolation spec</t>
        </is>
      </c>
    </row>
    <row r="25">
      <c r="A25" s="5" t="inlineStr">
        <is>
          <t>기능 명세(실제 API 기준)</t>
        </is>
      </c>
    </row>
    <row r="26">
      <c r="A26" s="6" t="inlineStr">
        <is>
          <t>요구사항 ID</t>
        </is>
      </c>
      <c r="B26" s="6" t="inlineStr">
        <is>
          <t>기능</t>
        </is>
      </c>
      <c r="C26" s="6" t="inlineStr">
        <is>
          <t>Method</t>
        </is>
      </c>
      <c r="D26" s="6" t="inlineStr">
        <is>
          <t>Endpoint(/api/v1)</t>
        </is>
      </c>
      <c r="E26" s="6" t="inlineStr">
        <is>
          <t>권한</t>
        </is>
      </c>
      <c r="F26" s="6" t="inlineStr">
        <is>
          <t>상태</t>
        </is>
      </c>
    </row>
    <row r="27">
      <c r="A27" s="4" t="inlineStr">
        <is>
          <t>MEM-FN-01</t>
        </is>
      </c>
      <c r="B27" s="4" t="inlineStr">
        <is>
          <t>회원 목록(지점 범위) — 페이지네이션(D43), 전화번호 마스킹(ADR-MEM-04)</t>
        </is>
      </c>
      <c r="C27" s="4" t="inlineStr">
        <is>
          <t>GET</t>
        </is>
      </c>
      <c r="D27" s="4" t="inlineStr">
        <is>
          <t>/members</t>
        </is>
      </c>
      <c r="E27" s="4" t="inlineStr">
        <is>
          <t>본사, 지점</t>
        </is>
      </c>
      <c r="F27" s="10" t="inlineStr">
        <is>
          <t>구현(API+화면: 관리자 웹)</t>
        </is>
      </c>
    </row>
    <row r="28">
      <c r="A28" s="4" t="inlineStr">
        <is>
          <t>MEM-FN-02</t>
        </is>
      </c>
      <c r="B28" s="4" t="inlineStr">
        <is>
          <t>회원 등록 — 미성년 보호자 동의 확인, 계약 종료 지점 차단</t>
        </is>
      </c>
      <c r="C28" s="4" t="inlineStr">
        <is>
          <t>POST</t>
        </is>
      </c>
      <c r="D28" s="4" t="inlineStr">
        <is>
          <t>/members</t>
        </is>
      </c>
      <c r="E28" s="4" t="inlineStr">
        <is>
          <t>지점</t>
        </is>
      </c>
      <c r="F28" s="10" t="inlineStr">
        <is>
          <t>구현(API+화면: 관리자 웹)</t>
        </is>
      </c>
    </row>
    <row r="29">
      <c r="A29" s="4" t="inlineStr">
        <is>
          <t>MEM-FN-03</t>
        </is>
      </c>
      <c r="B29" s="4" t="inlineStr">
        <is>
          <t>회원 상세 + 요약(수강·PT·예약) — 관리자가 열면 열람 기록(PHONE_VIEWED, D47)</t>
        </is>
      </c>
      <c r="C29" s="4" t="inlineStr">
        <is>
          <t>GET</t>
        </is>
      </c>
      <c r="D29" s="4" t="inlineStr">
        <is>
          <t>/members/:id</t>
        </is>
      </c>
      <c r="E29" s="4" t="inlineStr">
        <is>
          <t>본사, 지점, 회원</t>
        </is>
      </c>
      <c r="F29" s="10" t="inlineStr">
        <is>
          <t>구현(API+화면: 관리자 웹·회원 웹)</t>
        </is>
      </c>
    </row>
    <row r="30">
      <c r="A30" s="4" t="inlineStr">
        <is>
          <t>MEM-FN-04</t>
        </is>
      </c>
      <c r="B30" s="4" t="inlineStr">
        <is>
          <t>회원 정보 수정</t>
        </is>
      </c>
      <c r="C30" s="4" t="inlineStr">
        <is>
          <t>PATCH</t>
        </is>
      </c>
      <c r="D30" s="4" t="inlineStr">
        <is>
          <t>/members/:id</t>
        </is>
      </c>
      <c r="E30" s="4" t="inlineStr">
        <is>
          <t>본사, 지점, 회원</t>
        </is>
      </c>
      <c r="F30" s="10" t="inlineStr">
        <is>
          <t>구현(API+화면: 관리자 웹·회원 웹)</t>
        </is>
      </c>
    </row>
    <row r="31">
      <c r="A31" s="4" t="inlineStr">
        <is>
          <t>MEM-FN-05</t>
        </is>
      </c>
      <c r="B31" s="4" t="inlineStr">
        <is>
          <t>수강 내역</t>
        </is>
      </c>
      <c r="C31" s="4" t="inlineStr">
        <is>
          <t>GET</t>
        </is>
      </c>
      <c r="D31" s="4" t="inlineStr">
        <is>
          <t>/members/:id/enrollments</t>
        </is>
      </c>
      <c r="E31" s="4" t="inlineStr">
        <is>
          <t>본사, 지점, 회원</t>
        </is>
      </c>
      <c r="F31" s="10" t="inlineStr">
        <is>
          <t>구현(API+화면: 관리자 웹·회원 웹)</t>
        </is>
      </c>
    </row>
    <row r="32">
      <c r="A32" s="4" t="inlineStr">
        <is>
          <t>MEM-FN-06</t>
        </is>
      </c>
      <c r="B32" s="4" t="inlineStr">
        <is>
          <t>수강 등록</t>
        </is>
      </c>
      <c r="C32" s="4" t="inlineStr">
        <is>
          <t>POST</t>
        </is>
      </c>
      <c r="D32" s="4" t="inlineStr">
        <is>
          <t>/members/:id/enrollments</t>
        </is>
      </c>
      <c r="E32" s="4" t="inlineStr">
        <is>
          <t>지점</t>
        </is>
      </c>
      <c r="F32" s="10" t="inlineStr">
        <is>
          <t>구현(API+화면: 관리자 웹)</t>
        </is>
      </c>
    </row>
    <row r="33">
      <c r="A33" s="4" t="inlineStr">
        <is>
          <t>MEM-FN-07</t>
        </is>
      </c>
      <c r="B33" s="4" t="inlineStr">
        <is>
          <t>PT 세션권 목록</t>
        </is>
      </c>
      <c r="C33" s="4" t="inlineStr">
        <is>
          <t>GET</t>
        </is>
      </c>
      <c r="D33" s="4" t="inlineStr">
        <is>
          <t>/members/:id/pt-sessions</t>
        </is>
      </c>
      <c r="E33" s="4" t="inlineStr">
        <is>
          <t>본사, 지점, 회원</t>
        </is>
      </c>
      <c r="F33" s="10" t="inlineStr">
        <is>
          <t>구현(API+화면: 관리자 웹·회원 웹)</t>
        </is>
      </c>
    </row>
    <row r="34">
      <c r="A34" s="4" t="inlineStr">
        <is>
          <t>MEM-FN-08</t>
        </is>
      </c>
      <c r="B34" s="4" t="inlineStr">
        <is>
          <t>PT 세션권 등록</t>
        </is>
      </c>
      <c r="C34" s="4" t="inlineStr">
        <is>
          <t>POST</t>
        </is>
      </c>
      <c r="D34" s="4" t="inlineStr">
        <is>
          <t>/members/:id/pt-sessions</t>
        </is>
      </c>
      <c r="E34" s="4" t="inlineStr">
        <is>
          <t>지점</t>
        </is>
      </c>
      <c r="F34" s="10" t="inlineStr">
        <is>
          <t>구현(API+화면: 관리자 웹)</t>
        </is>
      </c>
    </row>
    <row r="35">
      <c r="A35" s="4" t="inlineStr">
        <is>
          <t>MEM-FN-09</t>
        </is>
      </c>
      <c r="B35" s="4" t="inlineStr">
        <is>
          <t>PT 1회 차감</t>
        </is>
      </c>
      <c r="C35" s="4" t="inlineStr">
        <is>
          <t>POST</t>
        </is>
      </c>
      <c r="D35" s="4" t="inlineStr">
        <is>
          <t>/members/:id/pt-sessions/:sessionId/use</t>
        </is>
      </c>
      <c r="E35" s="4" t="inlineStr">
        <is>
          <t>지점</t>
        </is>
      </c>
      <c r="F35" s="10" t="inlineStr">
        <is>
          <t>구현(API+화면: 관리자 웹)</t>
        </is>
      </c>
    </row>
    <row r="36">
      <c r="A36" s="4" t="inlineStr">
        <is>
          <t>MEM-FN-10</t>
        </is>
      </c>
      <c r="B36" s="4" t="inlineStr">
        <is>
          <t>회원 상태 전환(활성·휴면·탈퇴)</t>
        </is>
      </c>
      <c r="C36" s="4" t="inlineStr">
        <is>
          <t>PATCH</t>
        </is>
      </c>
      <c r="D36" s="4" t="inlineStr">
        <is>
          <t>/members/:id/status</t>
        </is>
      </c>
      <c r="E36" s="4" t="inlineStr">
        <is>
          <t>지점</t>
        </is>
      </c>
      <c r="F36" s="10" t="inlineStr">
        <is>
          <t>구현(API+화면: 관리자 웹)</t>
        </is>
      </c>
    </row>
    <row r="37">
      <c r="A37" s="4" t="inlineStr">
        <is>
          <t>MEM-FN-11</t>
        </is>
      </c>
      <c r="B37" s="4" t="inlineStr">
        <is>
          <t>오프라인 회원 ↔ 온라인 계정 연동(공개, 회원번호+전화번호 동시 일치, 시도 제한) — 회원 웹 /link</t>
        </is>
      </c>
      <c r="C37" s="4" t="inlineStr">
        <is>
          <t>POST</t>
        </is>
      </c>
      <c r="D37" s="4" t="inlineStr">
        <is>
          <t>/members/link</t>
        </is>
      </c>
      <c r="E37" s="4" t="inlineStr">
        <is>
          <t>공개</t>
        </is>
      </c>
      <c r="F37" s="10" t="inlineStr">
        <is>
          <t>구현(API+화면: 회원 웹)</t>
        </is>
      </c>
    </row>
    <row r="38">
      <c r="A38" s="4" t="inlineStr">
        <is>
          <t>MEM-FN-12</t>
        </is>
      </c>
      <c r="B38" s="4" t="inlineStr">
        <is>
          <t>회원 자체 가입(공개) — 회원 웹 /signup(지점 선택은 공개 지점 목록, ADR-MEM-05)</t>
        </is>
      </c>
      <c r="C38" s="4" t="inlineStr">
        <is>
          <t>POST</t>
        </is>
      </c>
      <c r="D38" s="4" t="inlineStr">
        <is>
          <t>/members/register</t>
        </is>
      </c>
      <c r="E38" s="4" t="inlineStr">
        <is>
          <t>공개</t>
        </is>
      </c>
      <c r="F38" s="10" t="inlineStr">
        <is>
          <t>구현(API+화면: 회원 웹)</t>
        </is>
      </c>
    </row>
    <row r="40">
      <c r="A40" s="5" t="inlineStr">
        <is>
          <t>설계 결정(ADR)</t>
        </is>
      </c>
    </row>
    <row r="41">
      <c r="A41" s="6" t="inlineStr">
        <is>
          <t>ADR</t>
        </is>
      </c>
      <c r="B41" s="6" t="inlineStr">
        <is>
          <t>결정</t>
        </is>
      </c>
      <c r="C41" s="6" t="inlineStr"/>
      <c r="D41" s="6" t="inlineStr"/>
      <c r="E41" s="6" t="inlineStr"/>
      <c r="F41" s="6" t="inlineStr">
        <is>
          <t>상태</t>
        </is>
      </c>
    </row>
    <row r="42">
      <c r="A42" s="4" t="inlineStr">
        <is>
          <t>ADR-MEM-01</t>
        </is>
      </c>
      <c r="B42" s="4" t="inlineStr">
        <is>
          <t>오프라인↔앱 연동 — 회원번호+전화번호 동시 일치</t>
        </is>
      </c>
      <c r="C42" s="14" t="n"/>
      <c r="D42" s="14" t="n"/>
      <c r="E42" s="15" t="n"/>
      <c r="F42" s="10" t="inlineStr">
        <is>
          <t>구현</t>
        </is>
      </c>
    </row>
    <row r="43">
      <c r="A43" s="4" t="inlineStr">
        <is>
          <t>ADR-MEM-02</t>
        </is>
      </c>
      <c r="B43" s="4" t="inlineStr">
        <is>
          <t>탈퇴 회원 이메일 재사용 — 활성 계정끼리만 부분 unique</t>
        </is>
      </c>
      <c r="C43" s="14" t="n"/>
      <c r="D43" s="14" t="n"/>
      <c r="E43" s="15" t="n"/>
      <c r="F43" s="10" t="inlineStr">
        <is>
          <t>구현(D27)</t>
        </is>
      </c>
    </row>
    <row r="44">
      <c r="A44" s="4" t="inlineStr">
        <is>
          <t>ADR-MEM-03</t>
        </is>
      </c>
      <c r="B44" s="4" t="inlineStr">
        <is>
          <t>회원 상세 = 요약 카운트 + 탭별 지연 로드</t>
        </is>
      </c>
      <c r="C44" s="14" t="n"/>
      <c r="D44" s="14" t="n"/>
      <c r="E44" s="15" t="n"/>
      <c r="F44" s="10" t="inlineStr">
        <is>
          <t>구현</t>
        </is>
      </c>
    </row>
    <row r="45">
      <c r="A45" s="4" t="inlineStr">
        <is>
          <t>ADR-MEM-04</t>
        </is>
      </c>
      <c r="B45" s="4" t="inlineStr">
        <is>
          <t>목록 응답 전화번호 마스킹(회원·직원·강사, 전 역할), 상세·본인은 원문</t>
        </is>
      </c>
      <c r="C45" s="14" t="n"/>
      <c r="D45" s="14" t="n"/>
      <c r="E45" s="15" t="n"/>
      <c r="F45" s="10" t="inlineStr">
        <is>
          <t>구현</t>
        </is>
      </c>
    </row>
    <row r="46">
      <c r="A46" s="4" t="inlineStr">
        <is>
          <t>ADR-MEM-05</t>
        </is>
      </c>
      <c r="B46" s="4" t="inlineStr">
        <is>
          <t>회원 웹 가입용 공개 지점 목록(이름·지역만, 종료 지점 제외)</t>
        </is>
      </c>
      <c r="C46" s="14" t="n"/>
      <c r="D46" s="14" t="n"/>
      <c r="E46" s="15" t="n"/>
      <c r="F46" s="10" t="inlineStr">
        <is>
          <t>구현(log/092)</t>
        </is>
      </c>
    </row>
    <row r="48">
      <c r="A48" s="5" t="inlineStr">
        <is>
          <t>미구현·범위 제외(도메인 문서 기준)</t>
        </is>
      </c>
    </row>
    <row r="49" ht="30" customHeight="1">
      <c r="A49" s="16" t="inlineStr">
        <is>
          <t>연동 승인 플로우, 자동 휴면 전환 배치</t>
        </is>
      </c>
    </row>
  </sheetData>
  <mergeCells count="19">
    <mergeCell ref="B7:F7"/>
    <mergeCell ref="B20:E20"/>
    <mergeCell ref="C13:F13"/>
    <mergeCell ref="B45:E45"/>
    <mergeCell ref="C15:F15"/>
    <mergeCell ref="B23:F23"/>
    <mergeCell ref="B8:F8"/>
    <mergeCell ref="B46:E46"/>
    <mergeCell ref="B22:E22"/>
    <mergeCell ref="C14:F14"/>
    <mergeCell ref="B43:E43"/>
    <mergeCell ref="B21:E21"/>
    <mergeCell ref="C16:F16"/>
    <mergeCell ref="B42:E42"/>
    <mergeCell ref="A49:F49"/>
    <mergeCell ref="B6:F6"/>
    <mergeCell ref="C12:F12"/>
    <mergeCell ref="B44:E44"/>
    <mergeCell ref="B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예약및결제 — 요구사항</t>
        </is>
      </c>
    </row>
    <row r="2">
      <c r="A2" s="2" t="inlineStr">
        <is>
          <t>원천: docs/domains/예약및결제.md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회원으로서, 원하는 프로그램의 회차를 조회하고 예약하고 싶다.</t>
        </is>
      </c>
    </row>
    <row r="6">
      <c r="A6" s="13" t="inlineStr">
        <is>
          <t>•</t>
        </is>
      </c>
      <c r="B6" s="13" t="inlineStr">
        <is>
          <t>회원으로서, 유료 회차는 예약 후 모의결제로 확정하고 싶다.</t>
        </is>
      </c>
    </row>
    <row r="7">
      <c r="A7" s="13" t="inlineStr">
        <is>
          <t>•</t>
        </is>
      </c>
      <c r="B7" s="13" t="inlineStr">
        <is>
          <t>회원으로서, 사정이 생기면 예약을 취소하고(마감시간 전이면) 환불받고 싶다.</t>
        </is>
      </c>
    </row>
    <row r="8">
      <c r="A8" s="13" t="inlineStr">
        <is>
          <t>•</t>
        </is>
      </c>
      <c r="B8" s="13" t="inlineStr">
        <is>
          <t>지점 관리자로서, 회원이 현장에 도착하면 체크인 처리하고 싶다.</t>
        </is>
      </c>
    </row>
    <row r="9">
      <c r="A9" s="13" t="inlineStr">
        <is>
          <t>•</t>
        </is>
      </c>
      <c r="B9" s="13" t="inlineStr">
        <is>
          <t>지점 관리자로서, 우리 지점 예약·결제 현황을 조회하고 싶다(타 지점은 불가).</t>
        </is>
      </c>
    </row>
    <row r="11">
      <c r="A11" s="5" t="inlineStr">
        <is>
          <t>원문 요구(RFP 기반 재분류)</t>
        </is>
      </c>
    </row>
    <row r="12">
      <c r="A12" s="6" t="inlineStr">
        <is>
          <t>요구사항 ID</t>
        </is>
      </c>
      <c r="B12" s="6" t="inlineStr">
        <is>
          <t>구분</t>
        </is>
      </c>
      <c r="C12" s="6" t="inlineStr">
        <is>
          <t>내용</t>
        </is>
      </c>
      <c r="D12" s="6" t="inlineStr"/>
      <c r="E12" s="6" t="inlineStr"/>
      <c r="F12" s="6" t="inlineStr"/>
    </row>
    <row r="13">
      <c r="A13" s="4" t="inlineStr">
        <is>
          <t>F06a</t>
        </is>
      </c>
      <c r="B13" s="4" t="inlineStr">
        <is>
          <t>기능</t>
        </is>
      </c>
      <c r="C13" s="4" t="inlineStr">
        <is>
          <t>무/유료 프로그램 정보 게시 후 프로그램별 예약</t>
        </is>
      </c>
      <c r="D13" s="14" t="n"/>
      <c r="E13" s="14" t="n"/>
      <c r="F13" s="15" t="n"/>
    </row>
    <row r="14">
      <c r="A14" s="4" t="inlineStr">
        <is>
          <t>F06b</t>
        </is>
      </c>
      <c r="B14" s="4" t="inlineStr">
        <is>
          <t>기능</t>
        </is>
      </c>
      <c r="C14" s="4" t="inlineStr">
        <is>
          <t>모바일 결제 기능</t>
        </is>
      </c>
      <c r="D14" s="14" t="n"/>
      <c r="E14" s="14" t="n"/>
      <c r="F14" s="15" t="n"/>
    </row>
    <row r="15">
      <c r="A15" s="4" t="inlineStr">
        <is>
          <t>F06c</t>
        </is>
      </c>
      <c r="B15" s="4" t="inlineStr">
        <is>
          <t>기능</t>
        </is>
      </c>
      <c r="C15" s="4" t="inlineStr">
        <is>
          <t>결제내역 처리방법(RFP 원문 "추후 논의")</t>
        </is>
      </c>
      <c r="D15" s="14" t="n"/>
      <c r="E15" s="14" t="n"/>
      <c r="F15" s="15" t="n"/>
    </row>
    <row r="16">
      <c r="A16" s="4" t="inlineStr">
        <is>
          <t>Q20</t>
        </is>
      </c>
      <c r="B16" s="4" t="inlineStr">
        <is>
          <t>품질</t>
        </is>
      </c>
      <c r="C16" s="4" t="inlineStr">
        <is>
          <t>결제시스템은 금융·보안기관 시스템에 연계 가능 여부 확인</t>
        </is>
      </c>
      <c r="D16" s="14" t="n"/>
      <c r="E16" s="14" t="n"/>
      <c r="F16" s="15" t="n"/>
    </row>
    <row r="17">
      <c r="A17" s="4" t="inlineStr">
        <is>
          <t>RSV-C05</t>
        </is>
      </c>
      <c r="B17" s="4" t="inlineStr">
        <is>
          <t>제약</t>
        </is>
      </c>
      <c r="C17" s="4" t="inlineStr">
        <is>
          <t>C01(과업 기간)·인프라 부재: 스케줄러가 없어 "5분 결제 미완료 자동취소", "노쇼 자동 처리"는 범위 제외(§8).</t>
        </is>
      </c>
      <c r="D17" s="14" t="n"/>
      <c r="E17" s="14" t="n"/>
      <c r="F17" s="15" t="n"/>
    </row>
    <row r="19">
      <c r="A19" s="5" t="inlineStr">
        <is>
          <t>불변규칙(협의 불가)</t>
        </is>
      </c>
    </row>
    <row r="20">
      <c r="A20" s="6" t="inlineStr">
        <is>
          <t>요구사항 ID</t>
        </is>
      </c>
      <c r="B20" s="6" t="inlineStr">
        <is>
          <t>규칙</t>
        </is>
      </c>
      <c r="C20" s="6" t="inlineStr"/>
      <c r="D20" s="6" t="inlineStr"/>
      <c r="E20" s="6" t="inlineStr"/>
      <c r="F20" s="6" t="inlineStr">
        <is>
          <t>검증</t>
        </is>
      </c>
    </row>
    <row r="21">
      <c r="A21" s="4" t="inlineStr">
        <is>
          <t>RSV-INV-01</t>
        </is>
      </c>
      <c r="B21" s="4" t="inlineStr">
        <is>
          <t>동일 회차의 정원을 초과해 예약이 확정될 수 없다. (영상의 "동일 좌석 중복판매 금지"와 완전히 같은 성격 — 몇 건이 초과되는 것도 협의 대상이 아니다)</t>
        </is>
      </c>
      <c r="C21" s="14" t="n"/>
      <c r="D21" s="14" t="n"/>
      <c r="E21" s="15" t="n"/>
      <c r="F21" s="4" t="inlineStr">
        <is>
          <t>자동 테스트</t>
        </is>
      </c>
    </row>
    <row r="22">
      <c r="A22" s="4" t="inlineStr">
        <is>
          <t>RSV-INV-02</t>
        </is>
      </c>
      <c r="B22" s="4" t="inlineStr">
        <is>
          <t>동일 회원이 같은 회차에 활성(REQUESTED/CONFIRMED) 예약을 중복으로 가질 수 없다.</t>
        </is>
      </c>
      <c r="C22" s="14" t="n"/>
      <c r="D22" s="14" t="n"/>
      <c r="E22" s="15" t="n"/>
      <c r="F22" s="4" t="inlineStr">
        <is>
          <t>자동 테스트</t>
        </is>
      </c>
    </row>
    <row r="23">
      <c r="A23" s="4" t="inlineStr">
        <is>
          <t>RSV-INV-03</t>
        </is>
      </c>
      <c r="B23" s="4" t="inlineStr">
        <is>
          <t>위탁계약이 TERMINATED된 지점에는 신규 예약이 생성될 수 없다. (CLAUDE.md 4대 불변식 — 계약 종료 지점 차단)</t>
        </is>
      </c>
      <c r="C23" s="14" t="n"/>
      <c r="D23" s="14" t="n"/>
      <c r="E23" s="15" t="n"/>
      <c r="F23" s="4" t="inlineStr">
        <is>
          <t>자동 테스트</t>
        </is>
      </c>
    </row>
    <row r="24">
      <c r="A24" s="4" t="inlineStr">
        <is>
          <t>RSV-INV-04</t>
        </is>
      </c>
      <c r="B24" s="4" t="inlineStr">
        <is>
          <t>결제 금액은 클라이언트가 아니라 서버가 Program 가격을 재조회해 결정한다. (기본적인 결제 보안 원칙 — 협의 대상 아님)</t>
        </is>
      </c>
      <c r="C24" s="14" t="n"/>
      <c r="D24" s="14" t="n"/>
      <c r="E24" s="15" t="n"/>
      <c r="F24" s="4" t="inlineStr">
        <is>
          <t>자동 테스트</t>
        </is>
      </c>
    </row>
    <row r="25">
      <c r="A25" s="7" t="inlineStr">
        <is>
          <t>관련 테스트</t>
        </is>
      </c>
      <c r="B25" s="13" t="inlineStr">
        <is>
          <t>reservation-capacity(실DB 동시성·결제 이중 승인)·catalog-flow·contract-termination·branch-isolation spec</t>
        </is>
      </c>
    </row>
    <row r="27">
      <c r="A27" s="5" t="inlineStr">
        <is>
          <t>기능 명세(실제 API 기준)</t>
        </is>
      </c>
    </row>
    <row r="28">
      <c r="A28" s="6" t="inlineStr">
        <is>
          <t>요구사항 ID</t>
        </is>
      </c>
      <c r="B28" s="6" t="inlineStr">
        <is>
          <t>기능</t>
        </is>
      </c>
      <c r="C28" s="6" t="inlineStr">
        <is>
          <t>Method</t>
        </is>
      </c>
      <c r="D28" s="6" t="inlineStr">
        <is>
          <t>Endpoint(/api/v1)</t>
        </is>
      </c>
      <c r="E28" s="6" t="inlineStr">
        <is>
          <t>권한</t>
        </is>
      </c>
      <c r="F28" s="6" t="inlineStr">
        <is>
          <t>상태</t>
        </is>
      </c>
    </row>
    <row r="29">
      <c r="A29" s="4" t="inlineStr">
        <is>
          <t>RSV-FN-01</t>
        </is>
      </c>
      <c r="B29" s="4" t="inlineStr">
        <is>
          <t>예약 목록(범위별, 페이지네이션 D43)</t>
        </is>
      </c>
      <c r="C29" s="4" t="inlineStr">
        <is>
          <t>GET</t>
        </is>
      </c>
      <c r="D29" s="4" t="inlineStr">
        <is>
          <t>/reservations</t>
        </is>
      </c>
      <c r="E29" s="4" t="inlineStr">
        <is>
          <t>회원, 지점, 본사</t>
        </is>
      </c>
      <c r="F29" s="10" t="inlineStr">
        <is>
          <t>구현(API+화면: 관리자 웹·회원 웹)</t>
        </is>
      </c>
    </row>
    <row r="30">
      <c r="A30" s="4" t="inlineStr">
        <is>
          <t>RSV-FN-02</t>
        </is>
      </c>
      <c r="B30" s="4" t="inlineStr">
        <is>
          <t>회차 예약 — 회차 잠금, 지점·계약·지난 회차(409)·중복·정원 확인</t>
        </is>
      </c>
      <c r="C30" s="4" t="inlineStr">
        <is>
          <t>POST</t>
        </is>
      </c>
      <c r="D30" s="4" t="inlineStr">
        <is>
          <t>/reservations</t>
        </is>
      </c>
      <c r="E30" s="4" t="inlineStr">
        <is>
          <t>회원</t>
        </is>
      </c>
      <c r="F30" s="10" t="inlineStr">
        <is>
          <t>구현(API+화면: 관리자 웹·회원 웹)</t>
        </is>
      </c>
    </row>
    <row r="31">
      <c r="A31" s="4" t="inlineStr">
        <is>
          <t>RSV-FN-03</t>
        </is>
      </c>
      <c r="B31" s="4" t="inlineStr">
        <is>
          <t>예약 취소 — 마감 전이면 환불</t>
        </is>
      </c>
      <c r="C31" s="4" t="inlineStr">
        <is>
          <t>PATCH</t>
        </is>
      </c>
      <c r="D31" s="4" t="inlineStr">
        <is>
          <t>/reservations/:id/cancel</t>
        </is>
      </c>
      <c r="E31" s="4" t="inlineStr">
        <is>
          <t>회원, 지점</t>
        </is>
      </c>
      <c r="F31" s="10" t="inlineStr">
        <is>
          <t>구현(API+화면: 관리자 웹·회원 웹)</t>
        </is>
      </c>
    </row>
    <row r="32">
      <c r="A32" s="4" t="inlineStr">
        <is>
          <t>RSV-FN-04</t>
        </is>
      </c>
      <c r="B32" s="4" t="inlineStr">
        <is>
          <t>현장 체크인(완료 처리)</t>
        </is>
      </c>
      <c r="C32" s="4" t="inlineStr">
        <is>
          <t>PATCH</t>
        </is>
      </c>
      <c r="D32" s="4" t="inlineStr">
        <is>
          <t>/reservations/:id/check-in</t>
        </is>
      </c>
      <c r="E32" s="4" t="inlineStr">
        <is>
          <t>지점</t>
        </is>
      </c>
      <c r="F32" s="10" t="inlineStr">
        <is>
          <t>구현(API+화면: 관리자 웹)</t>
        </is>
      </c>
    </row>
    <row r="33">
      <c r="A33" s="4" t="inlineStr">
        <is>
          <t>RSV-FN-05</t>
        </is>
      </c>
      <c r="B33" s="4" t="inlineStr">
        <is>
          <t>결제 내역(매출, 기간 필터·페이지네이션)</t>
        </is>
      </c>
      <c r="C33" s="4" t="inlineStr">
        <is>
          <t>GET</t>
        </is>
      </c>
      <c r="D33" s="4" t="inlineStr">
        <is>
          <t>/payments</t>
        </is>
      </c>
      <c r="E33" s="4" t="inlineStr">
        <is>
          <t>지점, 본사</t>
        </is>
      </c>
      <c r="F33" s="10" t="inlineStr">
        <is>
          <t>구현(API+화면: 관리자 웹)</t>
        </is>
      </c>
    </row>
    <row r="34">
      <c r="A34" s="4" t="inlineStr">
        <is>
          <t>RSV-FN-06</t>
        </is>
      </c>
      <c r="B34" s="4" t="inlineStr">
        <is>
          <t>모의 결제 승인 → 예약 확정(대기일 때 한 번만)</t>
        </is>
      </c>
      <c r="C34" s="4" t="inlineStr">
        <is>
          <t>POST</t>
        </is>
      </c>
      <c r="D34" s="4" t="inlineStr">
        <is>
          <t>/payments/:reservationId/mock-pay</t>
        </is>
      </c>
      <c r="E34" s="4" t="inlineStr">
        <is>
          <t>회원</t>
        </is>
      </c>
      <c r="F34" s="10" t="inlineStr">
        <is>
          <t>구현(API+화면: 관리자 웹·회원 웹)</t>
        </is>
      </c>
    </row>
    <row r="36">
      <c r="A36" s="5" t="inlineStr">
        <is>
          <t>설계 결정(ADR)</t>
        </is>
      </c>
    </row>
    <row r="37">
      <c r="A37" s="6" t="inlineStr">
        <is>
          <t>ADR</t>
        </is>
      </c>
      <c r="B37" s="6" t="inlineStr">
        <is>
          <t>결정</t>
        </is>
      </c>
      <c r="C37" s="6" t="inlineStr"/>
      <c r="D37" s="6" t="inlineStr"/>
      <c r="E37" s="6" t="inlineStr"/>
      <c r="F37" s="6" t="inlineStr">
        <is>
          <t>상태</t>
        </is>
      </c>
    </row>
    <row r="38">
      <c r="A38" s="4" t="inlineStr">
        <is>
          <t>ADR-RSV-01</t>
        </is>
      </c>
      <c r="B38" s="4" t="inlineStr">
        <is>
          <t>정원 초과 방지 — 회차 행 락(lockScheduleSlot)</t>
        </is>
      </c>
      <c r="C38" s="14" t="n"/>
      <c r="D38" s="14" t="n"/>
      <c r="E38" s="15" t="n"/>
      <c r="F38" s="10" t="inlineStr">
        <is>
          <t>구현(D32)</t>
        </is>
      </c>
    </row>
    <row r="39">
      <c r="A39" s="4" t="inlineStr">
        <is>
          <t>ADR-RSV-02</t>
        </is>
      </c>
      <c r="B39" s="4" t="inlineStr">
        <is>
          <t>중복 예약 — 앱 체크 + 부분 unique 인덱스 이중화</t>
        </is>
      </c>
      <c r="C39" s="14" t="n"/>
      <c r="D39" s="14" t="n"/>
      <c r="E39" s="15" t="n"/>
      <c r="F39" s="10" t="inlineStr">
        <is>
          <t>구현(D27·D32)</t>
        </is>
      </c>
    </row>
    <row r="40">
      <c r="A40" s="4" t="inlineStr">
        <is>
          <t>ADR-RSV-03</t>
        </is>
      </c>
      <c r="B40" s="4" t="inlineStr">
        <is>
          <t>결제 PaymentGateway 어댑터</t>
        </is>
      </c>
      <c r="C40" s="14" t="n"/>
      <c r="D40" s="14" t="n"/>
      <c r="E40" s="15" t="n"/>
      <c r="F40" s="12" t="inlineStr">
        <is>
          <t>미구현(ADR만)</t>
        </is>
      </c>
    </row>
    <row r="41">
      <c r="A41" s="4" t="inlineStr">
        <is>
          <t>ADR-RSV-04</t>
        </is>
      </c>
      <c r="B41" s="4" t="inlineStr">
        <is>
          <t>결제 목록 날짜 필터를 DB 조건으로 + 페이지네이션(D43)</t>
        </is>
      </c>
      <c r="C41" s="14" t="n"/>
      <c r="D41" s="14" t="n"/>
      <c r="E41" s="15" t="n"/>
      <c r="F41" s="10" t="inlineStr">
        <is>
          <t>구현(log/088)</t>
        </is>
      </c>
    </row>
    <row r="42">
      <c r="A42" s="4" t="inlineStr">
        <is>
          <t>ADR-RSV-05</t>
        </is>
      </c>
      <c r="B42" s="4" t="inlineStr">
        <is>
          <t>이미 시작했거나 지난 회차 예약은 409 SLOT_ALREADY_STARTED</t>
        </is>
      </c>
      <c r="C42" s="14" t="n"/>
      <c r="D42" s="14" t="n"/>
      <c r="E42" s="15" t="n"/>
      <c r="F42" s="10" t="inlineStr">
        <is>
          <t>구현(B1-3)</t>
        </is>
      </c>
    </row>
    <row r="43">
      <c r="A43" s="4" t="inlineStr">
        <is>
          <t>ADR-RSV-06</t>
        </is>
      </c>
      <c r="B43" s="4" t="inlineStr">
        <is>
          <t>달력 보기 — 회원 웹 날짜 띠, 관리자 주간 시간표(기존 회차 API)</t>
        </is>
      </c>
      <c r="C43" s="14" t="n"/>
      <c r="D43" s="14" t="n"/>
      <c r="E43" s="15" t="n"/>
      <c r="F43" s="10" t="inlineStr">
        <is>
          <t>구현(log/120)</t>
        </is>
      </c>
    </row>
    <row r="44">
      <c r="A44" s="4" t="inlineStr">
        <is>
          <t>ADR-RSV-07</t>
        </is>
      </c>
      <c r="B44" s="4" t="inlineStr">
        <is>
          <t>결제·취소 경합 — 두 경로 모두 예약 행 락 먼저(lockReservation), 결제 상태는 읽은 상태일 때만 변경</t>
        </is>
      </c>
      <c r="C44" s="14" t="n"/>
      <c r="D44" s="14" t="n"/>
      <c r="E44" s="15" t="n"/>
      <c r="F44" s="10" t="inlineStr">
        <is>
          <t>구현(log/123)</t>
        </is>
      </c>
    </row>
    <row r="45">
      <c r="A45" s="4" t="inlineStr">
        <is>
          <t>ADR-RSV-08</t>
        </is>
      </c>
      <c r="B45" s="4" t="inlineStr">
        <is>
          <t>체크인은 회차 당일(KST)만(409 CHECK_IN_NOT_TODAY), 예약 목록 회차 날짜 필터(dateFrom·dateTo, 거르면 회차 시각순)</t>
        </is>
      </c>
      <c r="C45" s="14" t="n"/>
      <c r="D45" s="14" t="n"/>
      <c r="E45" s="15" t="n"/>
      <c r="F45" s="10" t="inlineStr">
        <is>
          <t>구현(log/129)</t>
        </is>
      </c>
    </row>
    <row r="47">
      <c r="A47" s="5" t="inlineStr">
        <is>
          <t>미구현·범위 제외(도메인 문서 기준)</t>
        </is>
      </c>
    </row>
    <row r="48" ht="30" customHeight="1">
      <c r="A48" s="16" t="inlineStr">
        <is>
          <t>결제 미완료 자동취소, 노쇼 자동 처리, PT 패키지 결제, 매출 집계 API, 강사 정산·원천징수</t>
        </is>
      </c>
    </row>
  </sheetData>
  <mergeCells count="24">
    <mergeCell ref="B40:E40"/>
    <mergeCell ref="B7:F7"/>
    <mergeCell ref="C17:F17"/>
    <mergeCell ref="B25:F25"/>
    <mergeCell ref="B24:E24"/>
    <mergeCell ref="C13:F13"/>
    <mergeCell ref="B45:E45"/>
    <mergeCell ref="B41:E41"/>
    <mergeCell ref="C15:F15"/>
    <mergeCell ref="B8:F8"/>
    <mergeCell ref="B22:E22"/>
    <mergeCell ref="C14:F14"/>
    <mergeCell ref="B43:E43"/>
    <mergeCell ref="B21:E21"/>
    <mergeCell ref="C16:F16"/>
    <mergeCell ref="B39:E39"/>
    <mergeCell ref="A48:F48"/>
    <mergeCell ref="B42:E42"/>
    <mergeCell ref="B9:F9"/>
    <mergeCell ref="B23:E23"/>
    <mergeCell ref="B6:F6"/>
    <mergeCell ref="B38:E38"/>
    <mergeCell ref="B5:F5"/>
    <mergeCell ref="B44:E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강사프로그램게시 — 요구사항</t>
        </is>
      </c>
    </row>
    <row r="2">
      <c r="A2" s="2" t="inlineStr">
        <is>
          <t>원천: docs/domains/강사프로그램게시.md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지점 관리자로서, 신규 강사를 등록하고 프로필(경력/전문분야)을 관리하고 싶다.</t>
        </is>
      </c>
    </row>
    <row r="6">
      <c r="A6" s="13" t="inlineStr">
        <is>
          <t>•</t>
        </is>
      </c>
      <c r="B6" s="13" t="inlineStr">
        <is>
          <t>지점 관리자로서, 새 프로그램(요가, PT 등)을 개설하고 시간표를 등록하고 싶다.</t>
        </is>
      </c>
    </row>
    <row r="7">
      <c r="A7" s="13" t="inlineStr">
        <is>
          <t>•</t>
        </is>
      </c>
      <c r="B7" s="13" t="inlineStr">
        <is>
          <t>회원으로서, 종목/시간대/연령대로 프로그램을 필터링해서 찾고 싶다.</t>
        </is>
      </c>
    </row>
    <row r="9">
      <c r="A9" s="5" t="inlineStr">
        <is>
          <t>원문 요구(RFP 기반 재분류)</t>
        </is>
      </c>
    </row>
    <row r="10">
      <c r="A10" s="6" t="inlineStr">
        <is>
          <t>요구사항 ID</t>
        </is>
      </c>
      <c r="B10" s="6" t="inlineStr">
        <is>
          <t>구분</t>
        </is>
      </c>
      <c r="C10" s="6" t="inlineStr">
        <is>
          <t>내용</t>
        </is>
      </c>
      <c r="D10" s="6" t="inlineStr"/>
      <c r="E10" s="6" t="inlineStr"/>
      <c r="F10" s="6" t="inlineStr"/>
    </row>
    <row r="11">
      <c r="A11" s="4" t="inlineStr">
        <is>
          <t>F07a</t>
        </is>
      </c>
      <c r="B11" s="4" t="inlineStr">
        <is>
          <t>기능</t>
        </is>
      </c>
      <c r="C11" s="4" t="inlineStr">
        <is>
          <t>각 현장의 종목별 강사·프로그램 정보 게시</t>
        </is>
      </c>
      <c r="D11" s="14" t="n"/>
      <c r="E11" s="14" t="n"/>
      <c r="F11" s="15" t="n"/>
    </row>
    <row r="12">
      <c r="A12" s="4" t="inlineStr">
        <is>
          <t>F07b</t>
        </is>
      </c>
      <c r="B12" s="4" t="inlineStr">
        <is>
          <t>기능</t>
        </is>
      </c>
      <c r="C12" s="4" t="inlineStr">
        <is>
          <t>종목별/시간대별/연령대별 프로그램 리스트 게시</t>
        </is>
      </c>
      <c r="D12" s="14" t="n"/>
      <c r="E12" s="14" t="n"/>
      <c r="F12" s="15" t="n"/>
    </row>
    <row r="13">
      <c r="A13" s="4" t="inlineStr">
        <is>
          <t>PRG-C03</t>
        </is>
      </c>
      <c r="B13" s="4" t="inlineStr">
        <is>
          <t>제약</t>
        </is>
      </c>
      <c r="C13" s="4" t="inlineStr">
        <is>
          <t>없음(1인 개발 부담이 크지 않다고 §0이 이미 판단).</t>
        </is>
      </c>
      <c r="D13" s="14" t="n"/>
      <c r="E13" s="14" t="n"/>
      <c r="F13" s="15" t="n"/>
    </row>
    <row r="15">
      <c r="A15" s="5" t="inlineStr">
        <is>
          <t>불변규칙(협의 불가)</t>
        </is>
      </c>
    </row>
    <row r="16">
      <c r="A16" s="6" t="inlineStr">
        <is>
          <t>요구사항 ID</t>
        </is>
      </c>
      <c r="B16" s="6" t="inlineStr">
        <is>
          <t>규칙</t>
        </is>
      </c>
      <c r="C16" s="6" t="inlineStr"/>
      <c r="D16" s="6" t="inlineStr"/>
      <c r="E16" s="6" t="inlineStr"/>
      <c r="F16" s="6" t="inlineStr">
        <is>
          <t>검증</t>
        </is>
      </c>
    </row>
    <row r="17">
      <c r="A17" s="4" t="inlineStr">
        <is>
          <t>PRG-INV-01</t>
        </is>
      </c>
      <c r="B17" s="4" t="inlineStr">
        <is>
          <t>BRANCH_ADMIN은 자기 지점 강사·프로그램만 CRUD한다. (CLAUDE.md 4대 불변식 — 지점 데이터 격리)</t>
        </is>
      </c>
      <c r="C17" s="14" t="n"/>
      <c r="D17" s="14" t="n"/>
      <c r="E17" s="15" t="n"/>
      <c r="F17" s="4" t="inlineStr">
        <is>
          <t>자동 테스트</t>
        </is>
      </c>
    </row>
    <row r="18">
      <c r="A18" s="4" t="inlineStr">
        <is>
          <t>PRG-INV-02</t>
        </is>
      </c>
      <c r="B18" s="4" t="inlineStr">
        <is>
          <t>§3-2 표에 없는 프로그램 상태 전이는 성립하지 않는다. (예: ENDED에서 되돌아가는 전이는 없음 — 생애주기의 종결이라는 의미 자체가 깨짐)</t>
        </is>
      </c>
      <c r="C18" s="14" t="n"/>
      <c r="D18" s="14" t="n"/>
      <c r="E18" s="15" t="n"/>
      <c r="F18" s="4" t="inlineStr">
        <is>
          <t>자동 테스트</t>
        </is>
      </c>
    </row>
    <row r="19">
      <c r="A19" s="7" t="inlineStr">
        <is>
          <t>관련 테스트</t>
        </is>
      </c>
      <c r="B19" s="13" t="inlineStr">
        <is>
          <t>program-integrity·catalog-flow·list-filters·branch-isolation spec</t>
        </is>
      </c>
    </row>
    <row r="21">
      <c r="A21" s="5" t="inlineStr">
        <is>
          <t>기능 명세(실제 API 기준)</t>
        </is>
      </c>
    </row>
    <row r="22">
      <c r="A22" s="6" t="inlineStr">
        <is>
          <t>요구사항 ID</t>
        </is>
      </c>
      <c r="B22" s="6" t="inlineStr">
        <is>
          <t>기능</t>
        </is>
      </c>
      <c r="C22" s="6" t="inlineStr">
        <is>
          <t>Method</t>
        </is>
      </c>
      <c r="D22" s="6" t="inlineStr">
        <is>
          <t>Endpoint(/api/v1)</t>
        </is>
      </c>
      <c r="E22" s="6" t="inlineStr">
        <is>
          <t>권한</t>
        </is>
      </c>
      <c r="F22" s="6" t="inlineStr">
        <is>
          <t>상태</t>
        </is>
      </c>
    </row>
    <row r="23">
      <c r="A23" s="4" t="inlineStr">
        <is>
          <t>PRG-FN-01</t>
        </is>
      </c>
      <c r="B23" s="4" t="inlineStr">
        <is>
          <t>프로그램 목록</t>
        </is>
      </c>
      <c r="C23" s="4" t="inlineStr">
        <is>
          <t>GET</t>
        </is>
      </c>
      <c r="D23" s="4" t="inlineStr">
        <is>
          <t>/programs</t>
        </is>
      </c>
      <c r="E23" s="4" t="inlineStr">
        <is>
          <t>로그인 사용자</t>
        </is>
      </c>
      <c r="F23" s="10" t="inlineStr">
        <is>
          <t>구현(API+화면: 관리자 웹·회원 웹)</t>
        </is>
      </c>
    </row>
    <row r="24">
      <c r="A24" s="4" t="inlineStr">
        <is>
          <t>PRG-FN-02</t>
        </is>
      </c>
      <c r="B24" s="4" t="inlineStr">
        <is>
          <t>프로그램 등록</t>
        </is>
      </c>
      <c r="C24" s="4" t="inlineStr">
        <is>
          <t>POST</t>
        </is>
      </c>
      <c r="D24" s="4" t="inlineStr">
        <is>
          <t>/programs</t>
        </is>
      </c>
      <c r="E24" s="4" t="inlineStr">
        <is>
          <t>지점</t>
        </is>
      </c>
      <c r="F24" s="10" t="inlineStr">
        <is>
          <t>구현(API+화면: 관리자 웹)</t>
        </is>
      </c>
    </row>
    <row r="25">
      <c r="A25" s="4" t="inlineStr">
        <is>
          <t>PRG-FN-03</t>
        </is>
      </c>
      <c r="B25" s="4" t="inlineStr">
        <is>
          <t>프로그램 종료(소프트)</t>
        </is>
      </c>
      <c r="C25" s="4" t="inlineStr">
        <is>
          <t>DELETE</t>
        </is>
      </c>
      <c r="D25" s="4" t="inlineStr">
        <is>
          <t>/programs/:id</t>
        </is>
      </c>
      <c r="E25" s="4" t="inlineStr">
        <is>
          <t>지점</t>
        </is>
      </c>
      <c r="F25" s="10" t="inlineStr">
        <is>
          <t>구현(API+화면: 관리자 웹)</t>
        </is>
      </c>
    </row>
    <row r="26">
      <c r="A26" s="4" t="inlineStr">
        <is>
          <t>PRG-FN-04</t>
        </is>
      </c>
      <c r="B26" s="4" t="inlineStr">
        <is>
          <t>프로그램 수정</t>
        </is>
      </c>
      <c r="C26" s="4" t="inlineStr">
        <is>
          <t>PATCH</t>
        </is>
      </c>
      <c r="D26" s="4" t="inlineStr">
        <is>
          <t>/programs/:id</t>
        </is>
      </c>
      <c r="E26" s="4" t="inlineStr">
        <is>
          <t>지점</t>
        </is>
      </c>
      <c r="F26" s="10" t="inlineStr">
        <is>
          <t>구현(API+화면: 관리자 웹)</t>
        </is>
      </c>
    </row>
    <row r="27">
      <c r="A27" s="4" t="inlineStr">
        <is>
          <t>PRG-FN-05</t>
        </is>
      </c>
      <c r="B27" s="4" t="inlineStr">
        <is>
          <t>회차 목록·잔여 좌석</t>
        </is>
      </c>
      <c r="C27" s="4" t="inlineStr">
        <is>
          <t>GET</t>
        </is>
      </c>
      <c r="D27" s="4" t="inlineStr">
        <is>
          <t>/programs/:id/slots</t>
        </is>
      </c>
      <c r="E27" s="4" t="inlineStr">
        <is>
          <t>로그인 사용자</t>
        </is>
      </c>
      <c r="F27" s="10" t="inlineStr">
        <is>
          <t>구현(API+화면: 관리자 웹·회원 웹)</t>
        </is>
      </c>
    </row>
    <row r="28">
      <c r="A28" s="4" t="inlineStr">
        <is>
          <t>PRG-FN-06</t>
        </is>
      </c>
      <c r="B28" s="4" t="inlineStr">
        <is>
          <t>회차 등록</t>
        </is>
      </c>
      <c r="C28" s="4" t="inlineStr">
        <is>
          <t>POST</t>
        </is>
      </c>
      <c r="D28" s="4" t="inlineStr">
        <is>
          <t>/programs/:id/slots</t>
        </is>
      </c>
      <c r="E28" s="4" t="inlineStr">
        <is>
          <t>지점</t>
        </is>
      </c>
      <c r="F28" s="10" t="inlineStr">
        <is>
          <t>구현(API+화면: 관리자 웹)</t>
        </is>
      </c>
    </row>
    <row r="29">
      <c r="A29" s="4" t="inlineStr">
        <is>
          <t>PRG-FN-07</t>
        </is>
      </c>
      <c r="B29" s="4" t="inlineStr">
        <is>
          <t>프로그램 상태 전이(준비중·진행중·휴강·종료) — 영향받는 예약 반환</t>
        </is>
      </c>
      <c r="C29" s="4" t="inlineStr">
        <is>
          <t>PATCH</t>
        </is>
      </c>
      <c r="D29" s="4" t="inlineStr">
        <is>
          <t>/programs/:id/status</t>
        </is>
      </c>
      <c r="E29" s="4" t="inlineStr">
        <is>
          <t>지점</t>
        </is>
      </c>
      <c r="F29" s="10" t="inlineStr">
        <is>
          <t>구현(API+화면: 관리자 웹)</t>
        </is>
      </c>
    </row>
    <row r="30">
      <c r="A30" s="4" t="inlineStr">
        <is>
          <t>PRG-FN-08</t>
        </is>
      </c>
      <c r="B30" s="4" t="inlineStr">
        <is>
          <t>강사 목록</t>
        </is>
      </c>
      <c r="C30" s="4" t="inlineStr">
        <is>
          <t>GET</t>
        </is>
      </c>
      <c r="D30" s="4" t="inlineStr">
        <is>
          <t>/instructors</t>
        </is>
      </c>
      <c r="E30" s="4" t="inlineStr">
        <is>
          <t>로그인 사용자</t>
        </is>
      </c>
      <c r="F30" s="10" t="inlineStr">
        <is>
          <t>구현(API+화면: 관리자 웹)</t>
        </is>
      </c>
    </row>
    <row r="31">
      <c r="A31" s="4" t="inlineStr">
        <is>
          <t>PRG-FN-09</t>
        </is>
      </c>
      <c r="B31" s="4" t="inlineStr">
        <is>
          <t>강사 등록</t>
        </is>
      </c>
      <c r="C31" s="4" t="inlineStr">
        <is>
          <t>POST</t>
        </is>
      </c>
      <c r="D31" s="4" t="inlineStr">
        <is>
          <t>/instructors</t>
        </is>
      </c>
      <c r="E31" s="4" t="inlineStr">
        <is>
          <t>지점</t>
        </is>
      </c>
      <c r="F31" s="10" t="inlineStr">
        <is>
          <t>구현(API+화면: 관리자 웹)</t>
        </is>
      </c>
    </row>
    <row r="32">
      <c r="A32" s="4" t="inlineStr">
        <is>
          <t>PRG-FN-10</t>
        </is>
      </c>
      <c r="B32" s="4" t="inlineStr">
        <is>
          <t>강사 비활성화</t>
        </is>
      </c>
      <c r="C32" s="4" t="inlineStr">
        <is>
          <t>DELETE</t>
        </is>
      </c>
      <c r="D32" s="4" t="inlineStr">
        <is>
          <t>/instructors/:id</t>
        </is>
      </c>
      <c r="E32" s="4" t="inlineStr">
        <is>
          <t>지점</t>
        </is>
      </c>
      <c r="F32" s="10" t="inlineStr">
        <is>
          <t>구현(API+화면: 관리자 웹)</t>
        </is>
      </c>
    </row>
    <row r="33">
      <c r="A33" s="4" t="inlineStr">
        <is>
          <t>PRG-FN-11</t>
        </is>
      </c>
      <c r="B33" s="4" t="inlineStr">
        <is>
          <t>강사 수정</t>
        </is>
      </c>
      <c r="C33" s="4" t="inlineStr">
        <is>
          <t>PATCH</t>
        </is>
      </c>
      <c r="D33" s="4" t="inlineStr">
        <is>
          <t>/instructors/:id</t>
        </is>
      </c>
      <c r="E33" s="4" t="inlineStr">
        <is>
          <t>지점</t>
        </is>
      </c>
      <c r="F33" s="10" t="inlineStr">
        <is>
          <t>구현(API+화면: 관리자 웹)</t>
        </is>
      </c>
    </row>
    <row r="34">
      <c r="A34" s="4" t="inlineStr">
        <is>
          <t>PRG-FN-12</t>
        </is>
      </c>
      <c r="B34" s="4" t="inlineStr">
        <is>
          <t>지점별 프로그램 상태 요약</t>
        </is>
      </c>
      <c r="C34" s="4" t="inlineStr">
        <is>
          <t>GET</t>
        </is>
      </c>
      <c r="D34" s="4" t="inlineStr">
        <is>
          <t>/branches/:branchId/programs/summary</t>
        </is>
      </c>
      <c r="E34" s="4" t="inlineStr">
        <is>
          <t>본사, 지점</t>
        </is>
      </c>
      <c r="F34" s="10" t="inlineStr">
        <is>
          <t>구현(API+화면: 관리자 웹)</t>
        </is>
      </c>
    </row>
    <row r="36">
      <c r="A36" s="5" t="inlineStr">
        <is>
          <t>설계 결정(ADR)</t>
        </is>
      </c>
    </row>
    <row r="37">
      <c r="A37" s="6" t="inlineStr">
        <is>
          <t>ADR</t>
        </is>
      </c>
      <c r="B37" s="6" t="inlineStr">
        <is>
          <t>결정</t>
        </is>
      </c>
      <c r="C37" s="6" t="inlineStr"/>
      <c r="D37" s="6" t="inlineStr"/>
      <c r="E37" s="6" t="inlineStr"/>
      <c r="F37" s="6" t="inlineStr">
        <is>
          <t>상태</t>
        </is>
      </c>
    </row>
    <row r="38">
      <c r="A38" s="4" t="inlineStr">
        <is>
          <t>ADR-PRG-01</t>
        </is>
      </c>
      <c r="B38" s="4" t="inlineStr">
        <is>
          <t>PAID_SESSION의 capacity 필수 검증을 생성·수정 시점에</t>
        </is>
      </c>
      <c r="C38" s="14" t="n"/>
      <c r="D38" s="14" t="n"/>
      <c r="E38" s="15" t="n"/>
      <c r="F38" s="10" t="inlineStr">
        <is>
          <t>구현</t>
        </is>
      </c>
    </row>
    <row r="39">
      <c r="A39" s="4" t="inlineStr">
        <is>
          <t>ADR-PRG-02</t>
        </is>
      </c>
      <c r="B39" s="4" t="inlineStr">
        <is>
          <t>상태 전이 응답에 영향받는 확정 예약 포함</t>
        </is>
      </c>
      <c r="C39" s="14" t="n"/>
      <c r="D39" s="14" t="n"/>
      <c r="E39" s="15" t="n"/>
      <c r="F39" s="10" t="inlineStr">
        <is>
          <t>구현</t>
        </is>
      </c>
    </row>
    <row r="40">
      <c r="A40" s="4" t="inlineStr">
        <is>
          <t>ADR-PRG-03</t>
        </is>
      </c>
      <c r="B40" s="4" t="inlineStr">
        <is>
          <t>facilityId 지점 일치 검증</t>
        </is>
      </c>
      <c r="C40" s="14" t="n"/>
      <c r="D40" s="14" t="n"/>
      <c r="E40" s="15" t="n"/>
      <c r="F40" s="10" t="inlineStr">
        <is>
          <t>구현(+DB 트리거 D28)</t>
        </is>
      </c>
    </row>
    <row r="41">
      <c r="A41" s="4" t="inlineStr">
        <is>
          <t>ADR-PRG-04</t>
        </is>
      </c>
      <c r="B41" s="4" t="inlineStr">
        <is>
          <t>목록 종목·연령대·시간대 필터 — 시간대는 오늘 이후 회차 시작 시각</t>
        </is>
      </c>
      <c r="C41" s="14" t="n"/>
      <c r="D41" s="14" t="n"/>
      <c r="E41" s="15" t="n"/>
      <c r="F41" s="10" t="inlineStr">
        <is>
          <t>구현(log/116)</t>
        </is>
      </c>
    </row>
    <row r="43">
      <c r="A43" s="5" t="inlineStr">
        <is>
          <t>미구현·범위 제외(도메인 문서 기준)</t>
        </is>
      </c>
    </row>
    <row r="44" ht="30" customHeight="1">
      <c r="A44" s="16" t="inlineStr">
        <is>
          <t>요일 템플릿 회차 일괄 생성, 시설 시간 충돌 검사, 상태 자동 전이 배치, 강사 정산</t>
        </is>
      </c>
    </row>
  </sheetData>
  <mergeCells count="14">
    <mergeCell ref="C13:F13"/>
    <mergeCell ref="B17:E17"/>
    <mergeCell ref="B18:E18"/>
    <mergeCell ref="B7:F7"/>
    <mergeCell ref="B40:E40"/>
    <mergeCell ref="B6:F6"/>
    <mergeCell ref="B41:E41"/>
    <mergeCell ref="A44:F44"/>
    <mergeCell ref="C12:F12"/>
    <mergeCell ref="B38:E38"/>
    <mergeCell ref="B5:F5"/>
    <mergeCell ref="B19:F19"/>
    <mergeCell ref="B39:E39"/>
    <mergeCell ref="C11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혼잡도관리 — 요구사항</t>
        </is>
      </c>
    </row>
    <row r="2">
      <c r="A2" s="2" t="inlineStr">
        <is>
          <t>원천: docs/domains/혼잡도관리.md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회원으로서, 헬스장에 가기 전 앱에서 지금 얼마나 붐비는지 확인하고 싶다.</t>
        </is>
      </c>
    </row>
    <row r="6">
      <c r="A6" s="13" t="inlineStr">
        <is>
          <t>•</t>
        </is>
      </c>
      <c r="B6" s="13" t="inlineStr">
        <is>
          <t>지점 관리자로서, 자동 계산된 혼잡도가 실제와 다르면 수동으로 보정하고 싶다(예: 특별 이벤트로 사람이 몰릴 때).</t>
        </is>
      </c>
    </row>
    <row r="7">
      <c r="A7" s="13" t="inlineStr">
        <is>
          <t>•</t>
        </is>
      </c>
      <c r="B7" s="13" t="inlineStr">
        <is>
          <t>지점 관리자로서, 시설별 정원 대비 이용률을 설정/관리하고 싶다.</t>
        </is>
      </c>
    </row>
    <row r="9">
      <c r="A9" s="5" t="inlineStr">
        <is>
          <t>원문 요구(RFP 기반 재분류)</t>
        </is>
      </c>
    </row>
    <row r="10">
      <c r="A10" s="6" t="inlineStr">
        <is>
          <t>요구사항 ID</t>
        </is>
      </c>
      <c r="B10" s="6" t="inlineStr">
        <is>
          <t>구분</t>
        </is>
      </c>
      <c r="C10" s="6" t="inlineStr">
        <is>
          <t>내용</t>
        </is>
      </c>
      <c r="D10" s="6" t="inlineStr"/>
      <c r="E10" s="6" t="inlineStr"/>
      <c r="F10" s="6" t="inlineStr"/>
    </row>
    <row r="11">
      <c r="A11" s="4" t="inlineStr">
        <is>
          <t>F08a</t>
        </is>
      </c>
      <c r="B11" s="4" t="inlineStr">
        <is>
          <t>기능</t>
        </is>
      </c>
      <c r="C11" s="4" t="inlineStr">
        <is>
          <t>시설별 이용현황·혼잡도를 5개 항목으로 나눠 게시</t>
        </is>
      </c>
      <c r="D11" s="14" t="n"/>
      <c r="E11" s="14" t="n"/>
      <c r="F11" s="15" t="n"/>
    </row>
    <row r="12">
      <c r="A12" s="4" t="inlineStr">
        <is>
          <t>F08b</t>
        </is>
      </c>
      <c r="B12" s="4" t="inlineStr">
        <is>
          <t>기능</t>
        </is>
      </c>
      <c r="C12" s="4" t="inlineStr">
        <is>
          <t>실시간 혹은 최대 30분 이내 이용현황 반영</t>
        </is>
      </c>
      <c r="D12" s="14" t="n"/>
      <c r="E12" s="14" t="n"/>
      <c r="F12" s="15" t="n"/>
    </row>
    <row r="13">
      <c r="A13" s="4" t="inlineStr">
        <is>
          <t>FAC-C03</t>
        </is>
      </c>
      <c r="B13" s="4" t="inlineStr">
        <is>
          <t>제약</t>
        </is>
      </c>
      <c r="C13" s="4" t="inlineStr">
        <is>
          <t>하드웨어(IoT 센서·CCTV) 기반 계측 불가 — §0이 이미 명시.</t>
        </is>
      </c>
      <c r="D13" s="14" t="n"/>
      <c r="E13" s="14" t="n"/>
      <c r="F13" s="15" t="n"/>
    </row>
    <row r="14">
      <c r="A14" s="4" t="inlineStr">
        <is>
          <t>FAC-C04</t>
        </is>
      </c>
      <c r="B14" s="4" t="inlineStr">
        <is>
          <t>제약</t>
        </is>
      </c>
      <c r="C14" s="4" t="inlineStr">
        <is>
          <t>스케줄러 인프라 없음(Phase 2 QR·자동계산이 이 제약으로 범위 제외됨).</t>
        </is>
      </c>
      <c r="D14" s="14" t="n"/>
      <c r="E14" s="14" t="n"/>
      <c r="F14" s="15" t="n"/>
    </row>
    <row r="16">
      <c r="A16" s="5" t="inlineStr">
        <is>
          <t>불변규칙(협의 불가)</t>
        </is>
      </c>
    </row>
    <row r="17">
      <c r="A17" s="6" t="inlineStr">
        <is>
          <t>요구사항 ID</t>
        </is>
      </c>
      <c r="B17" s="6" t="inlineStr">
        <is>
          <t>규칙</t>
        </is>
      </c>
      <c r="C17" s="6" t="inlineStr"/>
      <c r="D17" s="6" t="inlineStr"/>
      <c r="E17" s="6" t="inlineStr"/>
      <c r="F17" s="6" t="inlineStr">
        <is>
          <t>검증</t>
        </is>
      </c>
    </row>
    <row r="18">
      <c r="A18" s="4" t="inlineStr">
        <is>
          <t>FAC-INV-01</t>
        </is>
      </c>
      <c r="B18" s="4" t="inlineStr">
        <is>
          <t>BRANCH_ADMIN은 자기 지점 시설만 관리한다. (CLAUDE.md 4대 불변식 — 지점 데이터 격리)</t>
        </is>
      </c>
      <c r="C18" s="14" t="n"/>
      <c r="D18" s="14" t="n"/>
      <c r="E18" s="15" t="n"/>
      <c r="F18" s="4" t="inlineStr">
        <is>
          <t>자동 테스트</t>
        </is>
      </c>
    </row>
    <row r="19">
      <c r="A19" s="4" t="inlineStr">
        <is>
          <t>FAC-INV-02</t>
        </is>
      </c>
      <c r="B19" s="4" t="inlineStr">
        <is>
          <t>정원(capacity)은 0이 될 수 없다. (0으로 나누면 계산 자체가 성립하지 않음 — 협의 대상이 아니라 수학적 제약)</t>
        </is>
      </c>
      <c r="C19" s="14" t="n"/>
      <c r="D19" s="14" t="n"/>
      <c r="E19" s="15" t="n"/>
      <c r="F19" s="4" t="inlineStr">
        <is>
          <t>자동 테스트</t>
        </is>
      </c>
    </row>
    <row r="20">
      <c r="A20" s="7" t="inlineStr">
        <is>
          <t>관련 테스트</t>
        </is>
      </c>
      <c r="B20" s="13" t="inlineStr">
        <is>
          <t>facility-lifecycle·catalog-flow·contract-termination·branch-isolation spec</t>
        </is>
      </c>
    </row>
    <row r="22">
      <c r="A22" s="5" t="inlineStr">
        <is>
          <t>기능 명세(실제 API 기준)</t>
        </is>
      </c>
    </row>
    <row r="23">
      <c r="A23" s="6" t="inlineStr">
        <is>
          <t>요구사항 ID</t>
        </is>
      </c>
      <c r="B23" s="6" t="inlineStr">
        <is>
          <t>기능</t>
        </is>
      </c>
      <c r="C23" s="6" t="inlineStr">
        <is>
          <t>Method</t>
        </is>
      </c>
      <c r="D23" s="6" t="inlineStr">
        <is>
          <t>Endpoint(/api/v1)</t>
        </is>
      </c>
      <c r="E23" s="6" t="inlineStr">
        <is>
          <t>권한</t>
        </is>
      </c>
      <c r="F23" s="6" t="inlineStr">
        <is>
          <t>상태</t>
        </is>
      </c>
    </row>
    <row r="24">
      <c r="A24" s="4" t="inlineStr">
        <is>
          <t>FAC-FN-01</t>
        </is>
      </c>
      <c r="B24" s="4" t="inlineStr">
        <is>
          <t>시설 목록 + 현재 혼잡도</t>
        </is>
      </c>
      <c r="C24" s="4" t="inlineStr">
        <is>
          <t>GET</t>
        </is>
      </c>
      <c r="D24" s="4" t="inlineStr">
        <is>
          <t>/facilities</t>
        </is>
      </c>
      <c r="E24" s="4" t="inlineStr">
        <is>
          <t>로그인 사용자</t>
        </is>
      </c>
      <c r="F24" s="10" t="inlineStr">
        <is>
          <t>구현(API+화면: 관리자 웹·회원 웹)</t>
        </is>
      </c>
    </row>
    <row r="25">
      <c r="A25" s="4" t="inlineStr">
        <is>
          <t>FAC-FN-02</t>
        </is>
      </c>
      <c r="B25" s="4" t="inlineStr">
        <is>
          <t>시설 등록</t>
        </is>
      </c>
      <c r="C25" s="4" t="inlineStr">
        <is>
          <t>POST</t>
        </is>
      </c>
      <c r="D25" s="4" t="inlineStr">
        <is>
          <t>/facilities</t>
        </is>
      </c>
      <c r="E25" s="4" t="inlineStr">
        <is>
          <t>지점</t>
        </is>
      </c>
      <c r="F25" s="10" t="inlineStr">
        <is>
          <t>구현(API+화면: 관리자 웹)</t>
        </is>
      </c>
    </row>
    <row r="26">
      <c r="A26" s="4" t="inlineStr">
        <is>
          <t>FAC-FN-03</t>
        </is>
      </c>
      <c r="B26" s="4" t="inlineStr">
        <is>
          <t>시설 수정·비활성화</t>
        </is>
      </c>
      <c r="C26" s="4" t="inlineStr">
        <is>
          <t>PATCH</t>
        </is>
      </c>
      <c r="D26" s="4" t="inlineStr">
        <is>
          <t>/facilities/:id</t>
        </is>
      </c>
      <c r="E26" s="4" t="inlineStr">
        <is>
          <t>지점</t>
        </is>
      </c>
      <c r="F26" s="10" t="inlineStr">
        <is>
          <t>구현(API+화면: 관리자 웹)</t>
        </is>
      </c>
    </row>
    <row r="27">
      <c r="A27" s="4" t="inlineStr">
        <is>
          <t>FAC-FN-04</t>
        </is>
      </c>
      <c r="B27" s="4" t="inlineStr">
        <is>
          <t>혼잡도 수동 보정(인원 입력 → 5단계 자동 계산)</t>
        </is>
      </c>
      <c r="C27" s="4" t="inlineStr">
        <is>
          <t>POST</t>
        </is>
      </c>
      <c r="D27" s="4" t="inlineStr">
        <is>
          <t>/facilities/:id/congestion/manual</t>
        </is>
      </c>
      <c r="E27" s="4" t="inlineStr">
        <is>
          <t>지점</t>
        </is>
      </c>
      <c r="F27" s="10" t="inlineStr">
        <is>
          <t>구현(API+화면: 관리자 웹)</t>
        </is>
      </c>
    </row>
    <row r="29">
      <c r="A29" s="5" t="inlineStr">
        <is>
          <t>설계 결정(ADR)</t>
        </is>
      </c>
    </row>
    <row r="30">
      <c r="A30" s="6" t="inlineStr">
        <is>
          <t>ADR</t>
        </is>
      </c>
      <c r="B30" s="6" t="inlineStr">
        <is>
          <t>결정</t>
        </is>
      </c>
      <c r="C30" s="6" t="inlineStr"/>
      <c r="D30" s="6" t="inlineStr"/>
      <c r="E30" s="6" t="inlineStr"/>
      <c r="F30" s="6" t="inlineStr">
        <is>
          <t>상태</t>
        </is>
      </c>
    </row>
    <row r="31">
      <c r="A31" s="4" t="inlineStr">
        <is>
          <t>ADR-FAC-01</t>
        </is>
      </c>
      <c r="B31" s="4" t="inlineStr">
        <is>
          <t>혼잡도 값에 lastUpdatedAt</t>
        </is>
      </c>
      <c r="C31" s="14" t="n"/>
      <c r="D31" s="14" t="n"/>
      <c r="E31" s="15" t="n"/>
      <c r="F31" s="10" t="inlineStr">
        <is>
          <t>구현</t>
        </is>
      </c>
    </row>
    <row r="32">
      <c r="A32" s="4" t="inlineStr">
        <is>
          <t>ADR-FAC-02</t>
        </is>
      </c>
      <c r="B32" s="4" t="inlineStr">
        <is>
          <t>Facility.isActive + 비활성화·재활성화</t>
        </is>
      </c>
      <c r="C32" s="14" t="n"/>
      <c r="D32" s="14" t="n"/>
      <c r="E32" s="15" t="n"/>
      <c r="F32" s="10" t="inlineStr">
        <is>
          <t>구현</t>
        </is>
      </c>
    </row>
    <row r="33">
      <c r="A33" s="4" t="inlineStr">
        <is>
          <t>ADR-FAC-03</t>
        </is>
      </c>
      <c r="B33" s="4" t="inlineStr">
        <is>
          <t>계약 종료 지점의 시설 등록·보정 차단</t>
        </is>
      </c>
      <c r="C33" s="14" t="n"/>
      <c r="D33" s="14" t="n"/>
      <c r="E33" s="15" t="n"/>
      <c r="F33" s="10" t="inlineStr">
        <is>
          <t>구현</t>
        </is>
      </c>
    </row>
    <row r="34">
      <c r="A34" s="4" t="inlineStr">
        <is>
          <t>ADR-FAC-04</t>
        </is>
      </c>
      <c r="B34" s="4" t="inlineStr">
        <is>
          <t>GET /facilities 자동 폴링 금지 — 회원 웹은 수동 새로고침(최소 30초), 서버 캐시 없음</t>
        </is>
      </c>
      <c r="C34" s="14" t="n"/>
      <c r="D34" s="14" t="n"/>
      <c r="E34" s="15" t="n"/>
      <c r="F34" s="10" t="inlineStr">
        <is>
          <t>적용(B1-3)</t>
        </is>
      </c>
    </row>
    <row r="36">
      <c r="A36" s="5" t="inlineStr">
        <is>
          <t>미구현·범위 제외(도메인 문서 기준)</t>
        </is>
      </c>
    </row>
    <row r="37" ht="30" customHeight="1">
      <c r="A37" s="16" t="inlineStr">
        <is>
          <t>QR 체크인/아웃, 5분 주기 자동계산, 미체크아웃 자동 마감 — 구현하려면 사용자 승인</t>
        </is>
      </c>
    </row>
  </sheetData>
  <mergeCells count="15">
    <mergeCell ref="C13:F13"/>
    <mergeCell ref="B31:E31"/>
    <mergeCell ref="B18:E18"/>
    <mergeCell ref="B7:F7"/>
    <mergeCell ref="B6:F6"/>
    <mergeCell ref="B20:F20"/>
    <mergeCell ref="C12:F12"/>
    <mergeCell ref="B34:E34"/>
    <mergeCell ref="B5:F5"/>
    <mergeCell ref="A37:F37"/>
    <mergeCell ref="B33:E33"/>
    <mergeCell ref="C11:F11"/>
    <mergeCell ref="B19:E19"/>
    <mergeCell ref="C14:F14"/>
    <mergeCell ref="B32:E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자원문서관리 — 요구사항</t>
        </is>
      </c>
    </row>
    <row r="2">
      <c r="A2" s="2" t="inlineStr">
        <is>
          <t>원천: docs/domains/자원문서관리.md · 기능 명세는 코드 실측(2026-10-19 저장소 기준)</t>
        </is>
      </c>
    </row>
    <row r="4">
      <c r="A4" s="5" t="inlineStr">
        <is>
          <t>사용자 스토리</t>
        </is>
      </c>
    </row>
    <row r="5">
      <c r="A5" s="13" t="inlineStr">
        <is>
          <t>•</t>
        </is>
      </c>
      <c r="B5" s="13" t="inlineStr">
        <is>
          <t>본사 관리자로서, 신규 구매한 운동기구를 특정 지점에 자산으로 등록하고 싶다.</t>
        </is>
      </c>
    </row>
    <row r="6">
      <c r="A6" s="13" t="inlineStr">
        <is>
          <t>•</t>
        </is>
      </c>
      <c r="B6" s="13" t="inlineStr">
        <is>
          <t>지점 관리자로서, 우리 지점 자산 목록과 각 자산의 상태(정상/수리중/폐기대상/폐기됨)를 확인하고 싶다.</t>
        </is>
      </c>
    </row>
    <row r="7">
      <c r="A7" s="13" t="inlineStr">
        <is>
          <t>•</t>
        </is>
      </c>
      <c r="B7" s="13" t="inlineStr">
        <is>
          <t>본사 관리자로서, 신규 위탁계약 체결 시 계약서 파일을 해당 지점에 연결해 보관하고 싶다.</t>
        </is>
      </c>
    </row>
    <row r="8">
      <c r="A8" s="13" t="inlineStr">
        <is>
          <t>•</t>
        </is>
      </c>
      <c r="B8" s="13" t="inlineStr">
        <is>
          <t>본사 관리자로서, 직원의 근로계약서를 업로드하고, 법정 보존기간이 지나면 알림을 받고 싶다.</t>
        </is>
      </c>
    </row>
    <row r="9">
      <c r="A9" s="13" t="inlineStr">
        <is>
          <t>•</t>
        </is>
      </c>
      <c r="B9" s="13" t="inlineStr">
        <is>
          <t>지점 관리자로서, 우리 지점과 관련된 문서(계약서, 인사서류 등)만 조회하고 싶다(타 지점 문서 조회 불가).</t>
        </is>
      </c>
    </row>
    <row r="11">
      <c r="A11" s="5" t="inlineStr">
        <is>
          <t>원문 요구(RFP 기반 재분류)</t>
        </is>
      </c>
    </row>
    <row r="12">
      <c r="A12" s="6" t="inlineStr">
        <is>
          <t>요구사항 ID</t>
        </is>
      </c>
      <c r="B12" s="6" t="inlineStr">
        <is>
          <t>구분</t>
        </is>
      </c>
      <c r="C12" s="6" t="inlineStr">
        <is>
          <t>내용</t>
        </is>
      </c>
      <c r="D12" s="6" t="inlineStr"/>
      <c r="E12" s="6" t="inlineStr"/>
      <c r="F12" s="6" t="inlineStr"/>
    </row>
    <row r="13">
      <c r="A13" s="4" t="inlineStr">
        <is>
          <t>F10a</t>
        </is>
      </c>
      <c r="B13" s="4" t="inlineStr">
        <is>
          <t>기능</t>
        </is>
      </c>
      <c r="C13" s="4" t="inlineStr">
        <is>
          <t>지점별 자산(운동기구·안전설비·비품)을 등록·조회·상태 관리</t>
        </is>
      </c>
      <c r="D13" s="14" t="n"/>
      <c r="E13" s="14" t="n"/>
      <c r="F13" s="15" t="n"/>
    </row>
    <row r="14">
      <c r="A14" s="4" t="inlineStr">
        <is>
          <t>F10b</t>
        </is>
      </c>
      <c r="B14" s="4" t="inlineStr">
        <is>
          <t>기능</t>
        </is>
      </c>
      <c r="C14" s="4" t="inlineStr">
        <is>
          <t>자산 취득가액 기준 고정자산/소모품 자동 판정(100만원 초과 기준)</t>
        </is>
      </c>
      <c r="D14" s="14" t="n"/>
      <c r="E14" s="14" t="n"/>
      <c r="F14" s="15" t="n"/>
    </row>
    <row r="15">
      <c r="A15" s="4" t="inlineStr">
        <is>
          <t>F10c</t>
        </is>
      </c>
      <c r="B15" s="4" t="inlineStr">
        <is>
          <t>기능</t>
        </is>
      </c>
      <c r="C15" s="4" t="inlineStr">
        <is>
          <t>계약서·인사서류 등 문서를 지점(또는 전사)에 연결해 보관, 카테고리별 보존기한 관리</t>
        </is>
      </c>
      <c r="D15" s="14" t="n"/>
      <c r="E15" s="14" t="n"/>
      <c r="F15" s="15" t="n"/>
    </row>
    <row r="16">
      <c r="A16" s="4" t="inlineStr">
        <is>
          <t>F10d</t>
        </is>
      </c>
      <c r="B16" s="4" t="inlineStr">
        <is>
          <t>기능</t>
        </is>
      </c>
      <c r="C16" s="4" t="inlineStr">
        <is>
          <t>보존기한 임박 문서 목록</t>
        </is>
      </c>
      <c r="D16" s="14" t="n"/>
      <c r="E16" s="14" t="n"/>
      <c r="F16" s="15" t="n"/>
    </row>
    <row r="17">
      <c r="A17" s="4" t="inlineStr">
        <is>
          <t>RES-C05</t>
        </is>
      </c>
      <c r="B17" s="4" t="inlineStr">
        <is>
          <t>제약</t>
        </is>
      </c>
      <c r="C17" s="4" t="inlineStr">
        <is>
          <t>실제 파일 업로드 인프라(스토리지·용량 제한·바이러스 검사) 없음 — fileUrl은 문자열만 받는다(부록 A-1, §7이 이미 범위 제외).</t>
        </is>
      </c>
      <c r="D17" s="14" t="n"/>
      <c r="E17" s="14" t="n"/>
      <c r="F17" s="15" t="n"/>
    </row>
    <row r="18">
      <c r="A18" s="4" t="inlineStr">
        <is>
          <t>RES-C06</t>
        </is>
      </c>
      <c r="B18" s="4" t="inlineStr">
        <is>
          <t>제약</t>
        </is>
      </c>
      <c r="C18" s="4" t="inlineStr">
        <is>
          <t>회계 모듈이 없어 감가상각 정밀 계산(월할·자산군별 상각률)을 연동할 재무제표가 없음 — 부록 A-1이 이미 "연 1회 스냅샷" 수준으로 단순화하기로 조정했었고, 그마저도 2026-09-20에 완전히 범위 제외됨(§7).</t>
        </is>
      </c>
      <c r="D18" s="14" t="n"/>
      <c r="E18" s="14" t="n"/>
      <c r="F18" s="15" t="n"/>
    </row>
    <row r="20">
      <c r="A20" s="5" t="inlineStr">
        <is>
          <t>불변규칙(협의 불가)</t>
        </is>
      </c>
    </row>
    <row r="21">
      <c r="A21" s="6" t="inlineStr">
        <is>
          <t>요구사항 ID</t>
        </is>
      </c>
      <c r="B21" s="6" t="inlineStr">
        <is>
          <t>규칙</t>
        </is>
      </c>
      <c r="C21" s="6" t="inlineStr"/>
      <c r="D21" s="6" t="inlineStr"/>
      <c r="E21" s="6" t="inlineStr"/>
      <c r="F21" s="6" t="inlineStr">
        <is>
          <t>검증</t>
        </is>
      </c>
    </row>
    <row r="22">
      <c r="A22" s="4" t="inlineStr">
        <is>
          <t>RES-INV-01</t>
        </is>
      </c>
      <c r="B22" s="4" t="inlineStr">
        <is>
          <t>BRANCH_ADMIN은 자기 지점 자산·문서만 CRUD한다. (CLAUDE.md 4대 불변식 — 지점 데이터 격리)</t>
        </is>
      </c>
      <c r="C22" s="14" t="n"/>
      <c r="D22" s="14" t="n"/>
      <c r="E22" s="15" t="n"/>
      <c r="F22" s="4" t="inlineStr">
        <is>
          <t>자동 테스트</t>
        </is>
      </c>
    </row>
    <row r="23">
      <c r="A23" s="4" t="inlineStr">
        <is>
          <t>RES-INV-02</t>
        </is>
      </c>
      <c r="B23" s="4" t="inlineStr">
        <is>
          <t>HR_RECORD(인사서류)는 대상 직원(relatedStaffId)을 반드시 지정해야 한다. (누구의 서류인지 모르는 인사서류는 존재 의미가 없음 — 부록 A-3이 이미 이렇게 설계)</t>
        </is>
      </c>
      <c r="C23" s="14" t="n"/>
      <c r="D23" s="14" t="n"/>
      <c r="E23" s="15" t="n"/>
      <c r="F23" s="4" t="inlineStr">
        <is>
          <t>자동 테스트</t>
        </is>
      </c>
    </row>
    <row r="24">
      <c r="A24" s="4" t="inlineStr">
        <is>
          <t>RES-INV-03</t>
        </is>
      </c>
      <c r="B24" s="4" t="inlineStr">
        <is>
          <t>문서 삭제는 SUPER_ADMIN 전용이다. (계약서·인사서류는 법적 증빙 성격이라 지점 관리자가 임의로 지울 수 없어야 함 — 부록 A-7)</t>
        </is>
      </c>
      <c r="C24" s="14" t="n"/>
      <c r="D24" s="14" t="n"/>
      <c r="E24" s="15" t="n"/>
      <c r="F24" s="4" t="inlineStr">
        <is>
          <t>자동 테스트</t>
        </is>
      </c>
    </row>
    <row r="25">
      <c r="A25" s="4" t="inlineStr">
        <is>
          <t>RES-INV-04</t>
        </is>
      </c>
      <c r="B25" s="4" t="inlineStr">
        <is>
          <t>문서는 소프트 삭제(D9)를 따른다. (계약·인사 분쟁 시 감사 목적 복구 가능성 — 부록 A-6)</t>
        </is>
      </c>
      <c r="C25" s="14" t="n"/>
      <c r="D25" s="14" t="n"/>
      <c r="E25" s="15" t="n"/>
      <c r="F25" s="4" t="inlineStr">
        <is>
          <t>자동 테스트</t>
        </is>
      </c>
    </row>
    <row r="26">
      <c r="A26" s="7" t="inlineStr">
        <is>
          <t>관련 테스트</t>
        </is>
      </c>
      <c r="B26" s="13" t="inlineStr">
        <is>
          <t>asset-rules(동시 채번·자동 판정·수량·전이 경합)·document-rules·document-retention·contract-termination·branch-isolation spec</t>
        </is>
      </c>
    </row>
    <row r="28">
      <c r="A28" s="5" t="inlineStr">
        <is>
          <t>기능 명세(실제 API 기준)</t>
        </is>
      </c>
    </row>
    <row r="29">
      <c r="A29" s="6" t="inlineStr">
        <is>
          <t>요구사항 ID</t>
        </is>
      </c>
      <c r="B29" s="6" t="inlineStr">
        <is>
          <t>기능</t>
        </is>
      </c>
      <c r="C29" s="6" t="inlineStr">
        <is>
          <t>Method</t>
        </is>
      </c>
      <c r="D29" s="6" t="inlineStr">
        <is>
          <t>Endpoint(/api/v1)</t>
        </is>
      </c>
      <c r="E29" s="6" t="inlineStr">
        <is>
          <t>권한</t>
        </is>
      </c>
      <c r="F29" s="6" t="inlineStr">
        <is>
          <t>상태</t>
        </is>
      </c>
    </row>
    <row r="30">
      <c r="A30" s="4" t="inlineStr">
        <is>
          <t>RES-FN-01</t>
        </is>
      </c>
      <c r="B30" s="4" t="inlineStr">
        <is>
          <t>자산·비품 목록(페이지네이션 D43)</t>
        </is>
      </c>
      <c r="C30" s="4" t="inlineStr">
        <is>
          <t>GET</t>
        </is>
      </c>
      <c r="D30" s="4" t="inlineStr">
        <is>
          <t>/assets</t>
        </is>
      </c>
      <c r="E30" s="4" t="inlineStr">
        <is>
          <t>본사, 지점</t>
        </is>
      </c>
      <c r="F30" s="10" t="inlineStr">
        <is>
          <t>구현(API+화면: 관리자 웹)</t>
        </is>
      </c>
    </row>
    <row r="31">
      <c r="A31" s="4" t="inlineStr">
        <is>
          <t>RES-FN-02</t>
        </is>
      </c>
      <c r="B31" s="4" t="inlineStr">
        <is>
          <t>자산 등록 — 자산코드 자동 채번, 계약 종료 지점 차단</t>
        </is>
      </c>
      <c r="C31" s="4" t="inlineStr">
        <is>
          <t>POST</t>
        </is>
      </c>
      <c r="D31" s="4" t="inlineStr">
        <is>
          <t>/assets</t>
        </is>
      </c>
      <c r="E31" s="4" t="inlineStr">
        <is>
          <t>본사, 지점</t>
        </is>
      </c>
      <c r="F31" s="10" t="inlineStr">
        <is>
          <t>구현(API+화면: 관리자 웹)</t>
        </is>
      </c>
    </row>
    <row r="32">
      <c r="A32" s="4" t="inlineStr">
        <is>
          <t>RES-FN-03</t>
        </is>
      </c>
      <c r="B32" s="4" t="inlineStr">
        <is>
          <t>자산 정보 수정</t>
        </is>
      </c>
      <c r="C32" s="4" t="inlineStr">
        <is>
          <t>PATCH</t>
        </is>
      </c>
      <c r="D32" s="4" t="inlineStr">
        <is>
          <t>/assets/:id</t>
        </is>
      </c>
      <c r="E32" s="4" t="inlineStr">
        <is>
          <t>본사, 지점</t>
        </is>
      </c>
      <c r="F32" s="10" t="inlineStr">
        <is>
          <t>구현(API+화면: 관리자 웹)</t>
        </is>
      </c>
    </row>
    <row r="33">
      <c r="A33" s="4" t="inlineStr">
        <is>
          <t>RES-FN-04</t>
        </is>
      </c>
      <c r="B33" s="4" t="inlineStr">
        <is>
          <t>자산 상태 전이(사용·수리·폐기 등)</t>
        </is>
      </c>
      <c r="C33" s="4" t="inlineStr">
        <is>
          <t>PATCH</t>
        </is>
      </c>
      <c r="D33" s="4" t="inlineStr">
        <is>
          <t>/assets/:id/status</t>
        </is>
      </c>
      <c r="E33" s="4" t="inlineStr">
        <is>
          <t>본사, 지점</t>
        </is>
      </c>
      <c r="F33" s="10" t="inlineStr">
        <is>
          <t>구현(API+화면: 관리자 웹)</t>
        </is>
      </c>
    </row>
    <row r="34">
      <c r="A34" s="4" t="inlineStr">
        <is>
          <t>RES-FN-05</t>
        </is>
      </c>
      <c r="B34" s="4" t="inlineStr">
        <is>
          <t>문서 목록</t>
        </is>
      </c>
      <c r="C34" s="4" t="inlineStr">
        <is>
          <t>GET</t>
        </is>
      </c>
      <c r="D34" s="4" t="inlineStr">
        <is>
          <t>/documents</t>
        </is>
      </c>
      <c r="E34" s="4" t="inlineStr">
        <is>
          <t>본사, 지점</t>
        </is>
      </c>
      <c r="F34" s="10" t="inlineStr">
        <is>
          <t>구현(API+화면: 관리자 웹)</t>
        </is>
      </c>
    </row>
    <row r="35">
      <c r="A35" s="4" t="inlineStr">
        <is>
          <t>RES-FN-06</t>
        </is>
      </c>
      <c r="B35" s="4" t="inlineStr">
        <is>
          <t>문서 등록 — 계약서 보존기한 필수, 계약 종료 지점 차단</t>
        </is>
      </c>
      <c r="C35" s="4" t="inlineStr">
        <is>
          <t>POST</t>
        </is>
      </c>
      <c r="D35" s="4" t="inlineStr">
        <is>
          <t>/documents</t>
        </is>
      </c>
      <c r="E35" s="4" t="inlineStr">
        <is>
          <t>본사, 지점</t>
        </is>
      </c>
      <c r="F35" s="10" t="inlineStr">
        <is>
          <t>구현(API+화면: 관리자 웹)</t>
        </is>
      </c>
    </row>
    <row r="36">
      <c r="A36" s="4" t="inlineStr">
        <is>
          <t>RES-FN-07</t>
        </is>
      </c>
      <c r="B36" s="4" t="inlineStr">
        <is>
          <t>문서 삭제(소프트, 본사)</t>
        </is>
      </c>
      <c r="C36" s="4" t="inlineStr">
        <is>
          <t>DELETE</t>
        </is>
      </c>
      <c r="D36" s="4" t="inlineStr">
        <is>
          <t>/documents/:id</t>
        </is>
      </c>
      <c r="E36" s="4" t="inlineStr">
        <is>
          <t>본사</t>
        </is>
      </c>
      <c r="F36" s="10" t="inlineStr">
        <is>
          <t>구현(API+화면: 관리자 웹)</t>
        </is>
      </c>
    </row>
    <row r="37">
      <c r="A37" s="4" t="inlineStr">
        <is>
          <t>RES-FN-08</t>
        </is>
      </c>
      <c r="B37" s="4" t="inlineStr">
        <is>
          <t>문서 상세</t>
        </is>
      </c>
      <c r="C37" s="4" t="inlineStr">
        <is>
          <t>GET</t>
        </is>
      </c>
      <c r="D37" s="4" t="inlineStr">
        <is>
          <t>/documents/:id</t>
        </is>
      </c>
      <c r="E37" s="4" t="inlineStr">
        <is>
          <t>본사, 지점</t>
        </is>
      </c>
      <c r="F37" s="10" t="inlineStr">
        <is>
          <t>구현(API+화면: 관리자 웹)</t>
        </is>
      </c>
    </row>
    <row r="38">
      <c r="A38" s="4" t="inlineStr">
        <is>
          <t>RES-FN-09</t>
        </is>
      </c>
      <c r="B38" s="4" t="inlineStr">
        <is>
          <t>보존기한 임박 문서(본사)</t>
        </is>
      </c>
      <c r="C38" s="4" t="inlineStr">
        <is>
          <t>GET</t>
        </is>
      </c>
      <c r="D38" s="4" t="inlineStr">
        <is>
          <t>/documents/retention-alerts</t>
        </is>
      </c>
      <c r="E38" s="4" t="inlineStr">
        <is>
          <t>본사</t>
        </is>
      </c>
      <c r="F38" s="10" t="inlineStr">
        <is>
          <t>구현(API+화면: 관리자 웹)</t>
        </is>
      </c>
    </row>
    <row r="40">
      <c r="A40" s="5" t="inlineStr">
        <is>
          <t>설계 결정(ADR)</t>
        </is>
      </c>
    </row>
    <row r="41">
      <c r="A41" s="6" t="inlineStr">
        <is>
          <t>ADR</t>
        </is>
      </c>
      <c r="B41" s="6" t="inlineStr">
        <is>
          <t>결정</t>
        </is>
      </c>
      <c r="C41" s="6" t="inlineStr"/>
      <c r="D41" s="6" t="inlineStr"/>
      <c r="E41" s="6" t="inlineStr"/>
      <c r="F41" s="6" t="inlineStr">
        <is>
          <t>상태</t>
        </is>
      </c>
    </row>
    <row r="42">
      <c r="A42" s="4" t="inlineStr">
        <is>
          <t>ADR-RES-01</t>
        </is>
      </c>
      <c r="B42" s="4" t="inlineStr">
        <is>
          <t>계약종료 지점 신규 자산·문서 차단 + 잔여 자산 경고</t>
        </is>
      </c>
      <c r="C42" s="14" t="n"/>
      <c r="D42" s="14" t="n"/>
      <c r="E42" s="15" t="n"/>
      <c r="F42" s="10" t="inlineStr">
        <is>
          <t>구현</t>
        </is>
      </c>
    </row>
    <row r="43">
      <c r="A43" s="4" t="inlineStr">
        <is>
          <t>ADR-RES-02</t>
        </is>
      </c>
      <c r="B43" s="4" t="inlineStr">
        <is>
          <t>퇴사 시 HR_RECORD 보존기한 재계산</t>
        </is>
      </c>
      <c r="C43" s="14" t="n"/>
      <c r="D43" s="14" t="n"/>
      <c r="E43" s="15" t="n"/>
      <c r="F43" s="10" t="inlineStr">
        <is>
          <t>구현</t>
        </is>
      </c>
    </row>
    <row r="44">
      <c r="A44" s="4" t="inlineStr">
        <is>
          <t>ADR-RES-03</t>
        </is>
      </c>
      <c r="B44" s="4" t="inlineStr">
        <is>
          <t>CONTRACT 문서 보존기한 서버 필수</t>
        </is>
      </c>
      <c r="C44" s="14" t="n"/>
      <c r="D44" s="14" t="n"/>
      <c r="E44" s="15" t="n"/>
      <c r="F44" s="10" t="inlineStr">
        <is>
          <t>구현</t>
        </is>
      </c>
    </row>
    <row r="45">
      <c r="A45" s="4" t="inlineStr">
        <is>
          <t>ADR-RES-04</t>
        </is>
      </c>
      <c r="B45" s="4" t="inlineStr">
        <is>
          <t>문서 목록 relatedStaffId 필터(직원 상세 인사서류)</t>
        </is>
      </c>
      <c r="C45" s="14" t="n"/>
      <c r="D45" s="14" t="n"/>
      <c r="E45" s="15" t="n"/>
      <c r="F45" s="10" t="inlineStr">
        <is>
          <t>구현(log/116)</t>
        </is>
      </c>
    </row>
  </sheetData>
  <mergeCells count="20">
    <mergeCell ref="B7:F7"/>
    <mergeCell ref="C17:F17"/>
    <mergeCell ref="B24:E24"/>
    <mergeCell ref="C13:F13"/>
    <mergeCell ref="B45:E45"/>
    <mergeCell ref="C18:F18"/>
    <mergeCell ref="B25:E25"/>
    <mergeCell ref="C15:F15"/>
    <mergeCell ref="B8:F8"/>
    <mergeCell ref="B22:E22"/>
    <mergeCell ref="C14:F14"/>
    <mergeCell ref="B43:E43"/>
    <mergeCell ref="C16:F16"/>
    <mergeCell ref="B42:E42"/>
    <mergeCell ref="B9:F9"/>
    <mergeCell ref="B23:E23"/>
    <mergeCell ref="B6:F6"/>
    <mergeCell ref="B44:E44"/>
    <mergeCell ref="B5:F5"/>
    <mergeCell ref="B26:F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70" customWidth="1" min="4" max="4"/>
    <col width="10" customWidth="1" min="5" max="5"/>
  </cols>
  <sheetData>
    <row r="1">
      <c r="A1" s="1" t="inlineStr">
        <is>
          <t>미구현·부분 — RFP가 요구하는데 아직 없거나 일부만 있는 것</t>
        </is>
      </c>
    </row>
    <row r="2">
      <c r="A2" s="2" t="inlineStr">
        <is>
          <t>의도적 범위 제외(다음 시트)와 구분한다. 원천: 요구사항추적표 §2-3(코드 실측)</t>
        </is>
      </c>
    </row>
    <row r="4">
      <c r="A4" s="6" t="inlineStr">
        <is>
          <t>ID</t>
        </is>
      </c>
      <c r="B4" s="6" t="inlineStr">
        <is>
          <t>RFP</t>
        </is>
      </c>
      <c r="C4" s="6" t="inlineStr">
        <is>
          <t>항목</t>
        </is>
      </c>
      <c r="D4" s="6" t="inlineStr">
        <is>
          <t>지금 상태(실측)</t>
        </is>
      </c>
      <c r="E4" s="6" t="inlineStr">
        <is>
          <t>상태</t>
        </is>
      </c>
    </row>
    <row r="5">
      <c r="A5" s="4" t="inlineStr">
        <is>
          <t>GAP-01</t>
        </is>
      </c>
      <c r="B5" s="4" t="inlineStr">
        <is>
          <t>권한관리(1-1 #1)·UI 보안(1-2 #7)</t>
        </is>
      </c>
      <c r="C5" s="4" t="inlineStr">
        <is>
          <t>사용자별·프로그램별 세부 권한(입력·수정·삭제·조회·출력), 개인별·기능별 접근 통제</t>
        </is>
      </c>
      <c r="D5" s="4" t="inlineStr">
        <is>
          <t>부분 — 역할 4개 + 지점 격리로 조정(D1). 출력은 회원·근태 요약·결제 CSV를 역할 기준으로만(D54), 인쇄용 화면 없음</t>
        </is>
      </c>
      <c r="E5" s="11" t="inlineStr">
        <is>
          <t>부분</t>
        </is>
      </c>
    </row>
    <row r="6">
      <c r="A6" s="4" t="inlineStr">
        <is>
          <t>GAP-02</t>
        </is>
      </c>
      <c r="B6" s="4" t="inlineStr">
        <is>
          <t>게시판(1-1 #4)</t>
        </is>
      </c>
      <c r="C6" s="4" t="inlineStr">
        <is>
          <t>현장→이용자 "각 시설에 대한" 공지 글·이미지</t>
        </is>
      </c>
      <c r="D6" s="4" t="inlineStr">
        <is>
          <t>부분 — 공지는 지점 단위라 시설을 지정할 수 없다(이미지는 회원 웹 공지 상세 본문 아래에 보인다, log/137)</t>
        </is>
      </c>
      <c r="E6" s="11" t="inlineStr">
        <is>
          <t>부분</t>
        </is>
      </c>
    </row>
    <row r="7">
      <c r="A7" s="4" t="inlineStr">
        <is>
          <t>GAP-03</t>
        </is>
      </c>
      <c r="B7" s="4" t="inlineStr">
        <is>
          <t>시스템가용성(1-1 #10)</t>
        </is>
      </c>
      <c r="C7" s="4" t="inlineStr">
        <is>
          <t>메모리 평균 85% 이하 유지</t>
        </is>
      </c>
      <c r="D7" s="4" t="inlineStr">
        <is>
          <t>부분 — 경보 절차는 작성(aws-lambda/README §6). AWS 콘솔 적용은 사용자 작업 — 아직 없음</t>
        </is>
      </c>
      <c r="E7" s="11" t="inlineStr">
        <is>
          <t>부분</t>
        </is>
      </c>
    </row>
    <row r="8">
      <c r="A8" s="4" t="inlineStr">
        <is>
          <t>GAP-04</t>
        </is>
      </c>
      <c r="B8" s="4" t="inlineStr">
        <is>
          <t>UI 보안(1-2 #7)</t>
        </is>
      </c>
      <c r="C8" s="4" t="inlineStr">
        <is>
          <t>결제 시스템의 금융·보안기관 연계 가능 여부 확인</t>
        </is>
      </c>
      <c r="D8" s="4" t="inlineStr">
        <is>
          <t>부분 — 모의 결제와 결제 어댑터 설계(ADR-RSV-03)만. PG사 연계 요건 확인 문서 없음</t>
        </is>
      </c>
      <c r="E8" s="11" t="inlineStr">
        <is>
          <t>부분</t>
        </is>
      </c>
    </row>
    <row r="9">
      <c r="A9" s="4" t="inlineStr">
        <is>
          <t>GAP-05</t>
        </is>
      </c>
      <c r="B9" s="4" t="inlineStr">
        <is>
          <t>과업4·산출물5(p.4·p.7)</t>
        </is>
      </c>
      <c r="C9" s="4" t="inlineStr">
        <is>
          <t>이용자 매뉴얼 제작·게시판 탑재, 어플 사용 교육 자료</t>
        </is>
      </c>
      <c r="D9" s="4" t="inlineStr">
        <is>
          <t>부분 — 관리자 웹 화면별 도움말과 회원 웹 이용 안내는 있다. 별도 사용자 매뉴얼(교육 자료 1편)과 게시판 탑재는 없다. 대면 교육은 해당 없음</t>
        </is>
      </c>
      <c r="E9" s="11" t="inlineStr">
        <is>
          <t>부분</t>
        </is>
      </c>
    </row>
    <row r="10">
      <c r="A10" s="4" t="inlineStr">
        <is>
          <t>GAP-06</t>
        </is>
      </c>
      <c r="B10" s="4" t="inlineStr">
        <is>
          <t>산출물4(p.7)</t>
        </is>
      </c>
      <c r="C10" s="4" t="inlineStr">
        <is>
          <t>단계별 개발 진행 보고서 5부</t>
        </is>
      </c>
      <c r="D10" s="4" t="inlineStr">
        <is>
          <t>부분 — 진행 기록(docs/log/ 130여 건)·발표 자료는 있지만 개발·테스트·검수·도입·기대효과 단계별 보고서 형식은 없다</t>
        </is>
      </c>
      <c r="E10" s="11" t="inlineStr">
        <is>
          <t>부분</t>
        </is>
      </c>
    </row>
    <row r="12">
      <c r="A12" s="5" t="inlineStr">
        <is>
          <t>API는 있고 화면이 없는 것</t>
        </is>
      </c>
    </row>
    <row r="13" ht="36" customHeight="1">
      <c r="A13" s="16" t="inlineStr">
        <is>
          <t>지금은 없다(로컬 전용 dev-storage 경로 제외). 마지막 항목이던 관리자의 직원 업무일지 열람은 2026-10-14 직원 상세에 붙였다(D51, log/112).</t>
        </is>
      </c>
    </row>
    <row r="15">
      <c r="A15" s="5" t="inlineStr">
        <is>
          <t>설계는 있지만 미구현인 도메인 규칙</t>
        </is>
      </c>
    </row>
    <row r="16" ht="36" customHeight="1">
      <c r="A16" s="16" t="inlineStr">
        <is>
          <t>결제 PaymentGateway 어댑터(ADR-RSV-03) — 실 PG를 붙일 때 필요하다.</t>
        </is>
      </c>
    </row>
  </sheetData>
  <mergeCells count="2">
    <mergeCell ref="A16:E16"/>
    <mergeCell ref="A13:E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50" customWidth="1" min="3" max="3"/>
  </cols>
  <sheetData>
    <row r="1">
      <c r="A1" s="1" t="inlineStr">
        <is>
          <t>범위 제외 — 의도적으로 만들지 않은 것</t>
        </is>
      </c>
    </row>
    <row r="2">
      <c r="A2" s="2" t="inlineStr">
        <is>
          <t>원천: 요구사항추적표 §2-4, 각 도메인 문서 부록 A-8</t>
        </is>
      </c>
    </row>
    <row r="4">
      <c r="A4" s="6" t="inlineStr">
        <is>
          <t>도메인</t>
        </is>
      </c>
      <c r="B4" s="6" t="inlineStr">
        <is>
          <t>범위 제외 항목</t>
        </is>
      </c>
      <c r="C4" s="6" t="inlineStr">
        <is>
          <t>향후 확장</t>
        </is>
      </c>
    </row>
    <row r="5">
      <c r="A5" s="4" t="inlineStr">
        <is>
          <t>01 권한관리</t>
        </is>
      </c>
      <c r="B5" s="4" t="inlineStr">
        <is>
          <t>범용 계정 발급/목록 API, 로그인 5회 잠금</t>
        </is>
      </c>
      <c r="C5" s="4" t="inlineStr">
        <is>
          <t>필드 추가 수준으로 가능</t>
        </is>
      </c>
    </row>
    <row r="6">
      <c r="A6" s="4" t="inlineStr">
        <is>
          <t>03 근태관리</t>
        </is>
      </c>
      <c r="B6" s="4" t="inlineStr">
        <is>
          <t>자동 결근 배치</t>
        </is>
      </c>
      <c r="C6" s="4" t="inlineStr">
        <is>
          <t>조회 시점 계산 또는 스케줄러 도입 시</t>
        </is>
      </c>
    </row>
    <row r="7">
      <c r="A7" s="4" t="inlineStr">
        <is>
          <t>04 게시판</t>
        </is>
      </c>
      <c r="B7" s="4" t="inlineStr">
        <is>
          <t>읽음 확인, 상단 고정</t>
        </is>
      </c>
      <c r="C7" s="4" t="inlineStr">
        <is>
          <t>가능</t>
        </is>
      </c>
    </row>
    <row r="8">
      <c r="A8" s="4" t="inlineStr">
        <is>
          <t>06 예약및결제</t>
        </is>
      </c>
      <c r="B8" s="4" t="inlineStr">
        <is>
          <t>강사 정산·원천징수(commissionRate 필드·UI도 코드에서 제거), 노쇼 자동처리, 5분 결제 TTL</t>
        </is>
      </c>
      <c r="C8" s="4" t="inlineStr">
        <is>
          <t>정산 필요 시 모델 복원, 나머지는 스케줄러 도입 시</t>
        </is>
      </c>
    </row>
    <row r="9">
      <c r="A9" s="4" t="inlineStr">
        <is>
          <t>07 강사·프로그램게시</t>
        </is>
      </c>
      <c r="B9" s="4" t="inlineStr">
        <is>
          <t>시설 충돌 검사, 휴강 예약자 알림, 상태 자동 전이 배치</t>
        </is>
      </c>
      <c r="C9" s="4" t="inlineStr">
        <is>
          <t>알림·스케줄러 도입 시</t>
        </is>
      </c>
    </row>
    <row r="10">
      <c r="A10" s="4" t="inlineStr">
        <is>
          <t>08 혼잡도관리</t>
        </is>
      </c>
      <c r="B10" s="4" t="inlineStr">
        <is>
          <t>QR 체크인/아웃, 5분 자동계산, 미체크아웃 마감, 현재 이용자 목록</t>
        </is>
      </c>
      <c r="C10" s="4" t="inlineStr">
        <is>
          <t>회원 모바일 웹 체크인 데이터 위에 확장</t>
        </is>
      </c>
    </row>
    <row r="11">
      <c r="A11" s="4" t="inlineStr">
        <is>
          <t>10 자원문서관리</t>
        </is>
      </c>
      <c r="B11" s="4" t="inlineStr">
        <is>
          <t>감가상각 배치(bookValue), STAFF 본인 인사서류 조회(코드에서 제거), 문서 실제 파일 업로드, 실무 확장 목록 전체(reference/기업구조및관리시스템분석.md §7)</t>
        </is>
      </c>
      <c r="C11" s="4" t="inlineStr">
        <is>
          <t>소유 구분·이관·점검 이력 등은 가치가 커서 우선 후보. 파일은 게시판 첨부 저장소(D57)를 재사용할 수 있다</t>
        </is>
      </c>
    </row>
    <row r="13">
      <c r="A13" s="5" t="inlineStr">
        <is>
          <t>대상 지점·회원 앱 형태</t>
        </is>
      </c>
    </row>
    <row r="14" ht="90" customHeight="1">
      <c r="A14" s="16" t="inlineStr">
        <is>
          <t>대상 지점·회원 앱 형태(2026-10-06, D40): 지점은 수도권 83곳(서울·경기·인천)만 대상으로 하고 지방 15곳은 뺀다. 98곳 전체면 회원 기능까지 열었을 때 하루 요청이 약 10.8만 건으로 엣지 무료 한도(10만)를 넘고, 83곳이면 약 9.3만 건이다(design-constants ⑬, 지점당 하루 100명 가정). 회원 기능은 네이티브 앱(apps/member-app, React Native)이 아니라 모바일 웹으로 만든다(2026-10-08 구현, D41). 관리자 웹과 같은 스택·같은 Worker라 인프라를 더 붙이지 않는다. RFP 6번의 "모바일결제"는 모바일 웹의 모의 결제로 대응한다.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2026-10-19T21:10:16Z</dcterms:created>
  <dcterms:modified xmlns:dcterms="http://purl.org/dc/terms/" xmlns:xsi="http://www.w3.org/2001/XMLSchema-instance" xsi:type="dcterms:W3CDTF">2026-10-19T21:10:16Z</dcterms:modified>
</cp:coreProperties>
</file>