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총괄'!$A$11:$G$181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2026-10-20</t>
        </is>
      </c>
    </row>
    <row r="7">
      <c r="A7" s="3" t="inlineStr">
        <is>
          <t>기준</t>
        </is>
      </c>
      <c r="B7" s="4" t="inlineStr">
        <is>
          <t>2026-10-20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97개 · 불변규칙 26개 · RFP 미구현·부분 5건 · 자동 테스트 파일 45개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52/64 = 81%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COUNTIF($C$12:$C$182,"기능")</f>
        <v/>
      </c>
    </row>
    <row r="6">
      <c r="A6" s="7" t="inlineStr">
        <is>
          <t xml:space="preserve">  └ 화면 있음</t>
        </is>
      </c>
      <c r="B6" s="8">
        <f>COUNTIFS($C$12:$C$182,"기능",$F$12:$F$182,"있음")</f>
        <v/>
      </c>
    </row>
    <row r="7">
      <c r="A7" s="7" t="inlineStr">
        <is>
          <t xml:space="preserve">  └ 화면 없음(API만)</t>
        </is>
      </c>
      <c r="B7" s="8">
        <f>COUNTIFS($C$12:$C$182,"기능",$F$12:$F$182,"없음")</f>
        <v/>
      </c>
    </row>
    <row r="8">
      <c r="A8" s="7" t="inlineStr">
        <is>
          <t>불변규칙 수</t>
        </is>
      </c>
      <c r="B8" s="8">
        <f>COUNTIF($C$12:$C$182,"불변규칙")</f>
        <v/>
      </c>
    </row>
    <row r="9">
      <c r="A9" s="7" t="inlineStr">
        <is>
          <t>RFP 미구현·부분 항목</t>
        </is>
      </c>
      <c r="B9" s="8">
        <f>COUNTIF($C$12:$C$182,"미구현")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직원 계정과 역할 목록(본사)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/permissions/staff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직원 역할 전환(지점 관리자 ↔ 직원, 본사)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PATCH /permissions/staff/:staffId/role</t>
        </is>
      </c>
    </row>
    <row r="29">
      <c r="A29" s="4" t="inlineStr">
        <is>
          <t>F02a</t>
        </is>
      </c>
      <c r="B29" s="4" t="inlineStr">
        <is>
          <t>인사정보관리</t>
        </is>
      </c>
      <c r="C29" s="4" t="inlineStr">
        <is>
          <t>원문 기능</t>
        </is>
      </c>
      <c r="D29" s="4" t="inlineStr">
        <is>
          <t>현장(지점)별 인사관리 탭, 코드 생성</t>
        </is>
      </c>
      <c r="E29" s="4" t="inlineStr">
        <is>
          <t>-</t>
        </is>
      </c>
      <c r="F29" s="4" t="inlineStr">
        <is>
          <t>-</t>
        </is>
      </c>
      <c r="G29" s="4" t="inlineStr"/>
    </row>
    <row r="30">
      <c r="A30" s="4" t="inlineStr">
        <is>
          <t>F02b</t>
        </is>
      </c>
      <c r="B30" s="4" t="inlineStr">
        <is>
          <t>인사정보관리</t>
        </is>
      </c>
      <c r="C30" s="4" t="inlineStr">
        <is>
          <t>원문 기능</t>
        </is>
      </c>
      <c r="D30" s="4" t="inlineStr">
        <is>
          <t>모든 인사기록 정보를 한 화면에서 조회</t>
        </is>
      </c>
      <c r="E30" s="4" t="inlineStr">
        <is>
          <t>-</t>
        </is>
      </c>
      <c r="F30" s="4" t="inlineStr">
        <is>
          <t>-</t>
        </is>
      </c>
      <c r="G30" s="4" t="inlineStr"/>
    </row>
    <row r="31">
      <c r="A31" s="4" t="inlineStr">
        <is>
          <t>F02c</t>
        </is>
      </c>
      <c r="B31" s="4" t="inlineStr">
        <is>
          <t>인사정보관리</t>
        </is>
      </c>
      <c r="C31" s="4" t="inlineStr">
        <is>
          <t>원문 기능</t>
        </is>
      </c>
      <c r="D31" s="4" t="inlineStr">
        <is>
          <t>권한 부여 혹은 승인 시 수정 가능</t>
        </is>
      </c>
      <c r="E31" s="4" t="inlineStr">
        <is>
          <t>-</t>
        </is>
      </c>
      <c r="F31" s="4" t="inlineStr">
        <is>
          <t>-</t>
        </is>
      </c>
      <c r="G31" s="4" t="inlineStr"/>
    </row>
    <row r="32">
      <c r="A32" s="4" t="inlineStr">
        <is>
          <t>STF-C04</t>
        </is>
      </c>
      <c r="B32" s="4" t="inlineStr">
        <is>
          <t>인사정보관리</t>
        </is>
      </c>
      <c r="C32" s="4" t="inlineStr">
        <is>
          <t>원문 제약</t>
        </is>
      </c>
      <c r="D32" s="4" t="inlineStr">
        <is>
          <t>C01(과업 기간)이 간접 제약: "승인 기반 수정"의 다단계 결재라인은 1인 개발 범위를 넘어 본인 신청→1단계 승인으로 단순화(아래 §8 참고).</t>
        </is>
      </c>
      <c r="E32" s="4" t="inlineStr">
        <is>
          <t>-</t>
        </is>
      </c>
      <c r="F32" s="4" t="inlineStr">
        <is>
          <t>-</t>
        </is>
      </c>
      <c r="G32" s="4" t="inlineStr"/>
    </row>
    <row r="33">
      <c r="A33" s="4" t="inlineStr">
        <is>
          <t>STF-INV-01</t>
        </is>
      </c>
      <c r="B33" s="4" t="inlineStr">
        <is>
          <t>인사정보관리</t>
        </is>
      </c>
      <c r="C33" s="4" t="inlineStr">
        <is>
          <t>불변규칙</t>
        </is>
      </c>
      <c r="D33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3" s="10" t="inlineStr">
        <is>
          <t>구현</t>
        </is>
      </c>
      <c r="F33" s="4" t="inlineStr">
        <is>
          <t>-</t>
        </is>
      </c>
      <c r="G33" s="4" t="inlineStr">
        <is>
          <t>staff-assignment·staff-write·staff-change-requests·hr-authority·contract-termination·integrity-helpers·audit-log·phone-view-audit·branch-isolation spec</t>
        </is>
      </c>
    </row>
    <row r="34">
      <c r="A34" s="4" t="inlineStr">
        <is>
          <t>STF-INV-02</t>
        </is>
      </c>
      <c r="B34" s="4" t="inlineStr">
        <is>
          <t>인사정보관리</t>
        </is>
      </c>
      <c r="C34" s="4" t="inlineStr">
        <is>
          <t>불변규칙</t>
        </is>
      </c>
      <c r="D34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4" s="10" t="inlineStr">
        <is>
          <t>구현</t>
        </is>
      </c>
      <c r="F34" s="4" t="inlineStr">
        <is>
          <t>-</t>
        </is>
      </c>
      <c r="G34" s="4" t="inlineStr">
        <is>
          <t>staff-assignment·staff-write·staff-change-requests·hr-authority·contract-termination·integrity-helpers·audit-log·phone-view-audit·branch-isolation spec</t>
        </is>
      </c>
    </row>
    <row r="35">
      <c r="A35" s="4" t="inlineStr">
        <is>
          <t>STF-INV-03</t>
        </is>
      </c>
      <c r="B35" s="4" t="inlineStr">
        <is>
          <t>인사정보관리</t>
        </is>
      </c>
      <c r="C35" s="4" t="inlineStr">
        <is>
          <t>불변규칙</t>
        </is>
      </c>
      <c r="D35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35" s="10" t="inlineStr">
        <is>
          <t>구현</t>
        </is>
      </c>
      <c r="F35" s="4" t="inlineStr">
        <is>
          <t>-</t>
        </is>
      </c>
      <c r="G35" s="4" t="inlineStr">
        <is>
          <t>staff-assignment·staff-write·staff-change-requests·hr-authority·contract-termination·integrity-helpers·audit-log·phone-view-audit·branch-isolation spec</t>
        </is>
      </c>
    </row>
    <row r="36">
      <c r="A36" s="4" t="inlineStr">
        <is>
          <t>STF-FN-01</t>
        </is>
      </c>
      <c r="B36" s="4" t="inlineStr">
        <is>
          <t>인사정보관리</t>
        </is>
      </c>
      <c r="C36" s="4" t="inlineStr">
        <is>
          <t>기능</t>
        </is>
      </c>
      <c r="D36" s="4" t="inlineStr">
        <is>
          <t>직원 목록(본사 전체, 지점 관리자는 자기 지점) — 전화번호 마스킹, ?unassigned=true는 재배치 대기(ADR-STF-08)</t>
        </is>
      </c>
      <c r="E36" s="10" t="inlineStr">
        <is>
          <t>구현</t>
        </is>
      </c>
      <c r="F36" s="4" t="inlineStr">
        <is>
          <t>있음</t>
        </is>
      </c>
      <c r="G36" s="4" t="inlineStr">
        <is>
          <t>GET /staff</t>
        </is>
      </c>
    </row>
    <row r="37">
      <c r="A37" s="4" t="inlineStr">
        <is>
          <t>STF-FN-02</t>
        </is>
      </c>
      <c r="B37" s="4" t="inlineStr">
        <is>
          <t>인사정보관리</t>
        </is>
      </c>
      <c r="C37" s="4" t="inlineStr">
        <is>
          <t>기능</t>
        </is>
      </c>
      <c r="D37" s="4" t="inlineStr">
        <is>
          <t>직원 채용 — 계정·직원·첫 파견을 함께 생성(본사만)</t>
        </is>
      </c>
      <c r="E37" s="10" t="inlineStr">
        <is>
          <t>구현</t>
        </is>
      </c>
      <c r="F37" s="4" t="inlineStr">
        <is>
          <t>있음</t>
        </is>
      </c>
      <c r="G37" s="4" t="inlineStr">
        <is>
          <t>POST /staff</t>
        </is>
      </c>
    </row>
    <row r="38">
      <c r="A38" s="4" t="inlineStr">
        <is>
          <t>STF-FN-03</t>
        </is>
      </c>
      <c r="B38" s="4" t="inlineStr">
        <is>
          <t>인사정보관리</t>
        </is>
      </c>
      <c r="C38" s="4" t="inlineStr">
        <is>
          <t>기능</t>
        </is>
      </c>
      <c r="D38" s="4" t="inlineStr">
        <is>
          <t>직원 상세 — 관리자가 열면 열람 기록(PHONE_VIEWED, D47)</t>
        </is>
      </c>
      <c r="E38" s="10" t="inlineStr">
        <is>
          <t>구현</t>
        </is>
      </c>
      <c r="F38" s="4" t="inlineStr">
        <is>
          <t>있음</t>
        </is>
      </c>
      <c r="G38" s="4" t="inlineStr">
        <is>
          <t>GET /staff/:id</t>
        </is>
      </c>
    </row>
    <row r="39">
      <c r="A39" s="4" t="inlineStr">
        <is>
          <t>STF-FN-04</t>
        </is>
      </c>
      <c r="B39" s="4" t="inlineStr">
        <is>
          <t>인사정보관리</t>
        </is>
      </c>
      <c r="C39" s="4" t="inlineStr">
        <is>
          <t>기능</t>
        </is>
      </c>
      <c r="D39" s="4" t="inlineStr">
        <is>
          <t>직원 정보 수정</t>
        </is>
      </c>
      <c r="E39" s="10" t="inlineStr">
        <is>
          <t>구현</t>
        </is>
      </c>
      <c r="F39" s="4" t="inlineStr">
        <is>
          <t>있음</t>
        </is>
      </c>
      <c r="G39" s="4" t="inlineStr">
        <is>
          <t>PATCH /staff/:id</t>
        </is>
      </c>
    </row>
    <row r="40">
      <c r="A40" s="4" t="inlineStr">
        <is>
          <t>STF-FN-05</t>
        </is>
      </c>
      <c r="B40" s="4" t="inlineStr">
        <is>
          <t>인사정보관리</t>
        </is>
      </c>
      <c r="C40" s="4" t="inlineStr">
        <is>
          <t>기능</t>
        </is>
      </c>
      <c r="D40" s="4" t="inlineStr">
        <is>
          <t>파견 이력</t>
        </is>
      </c>
      <c r="E40" s="10" t="inlineStr">
        <is>
          <t>구현</t>
        </is>
      </c>
      <c r="F40" s="4" t="inlineStr">
        <is>
          <t>있음</t>
        </is>
      </c>
      <c r="G40" s="4" t="inlineStr">
        <is>
          <t>GET /staff/:id/assignments</t>
        </is>
      </c>
    </row>
    <row r="41">
      <c r="A41" s="4" t="inlineStr">
        <is>
          <t>STF-FN-06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파견 발령(재배치) — 옛 지점 담당 회원 해제, 계약 종료 지점으로는 409(본사만)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POST /staff/:id/assignments</t>
        </is>
      </c>
    </row>
    <row r="42">
      <c r="A42" s="4" t="inlineStr">
        <is>
          <t>STF-FN-07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퇴사 처리 — 계정 비활성화, 파견 종료, 담당 회원 해제, 인사서류 보존기한 재계산(지점 관리자. 계약 종료 지점 직원은 본사도 — ADR-STF-08)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PATCH /staff/:id/resign</t>
        </is>
      </c>
    </row>
    <row r="43">
      <c r="A43" s="4" t="inlineStr">
        <is>
          <t>STF-FN-08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내 직원 정보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/staff/me</t>
        </is>
      </c>
    </row>
    <row r="44">
      <c r="A44" s="4" t="inlineStr">
        <is>
          <t>STF-FN-09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인사 변경 신청 목록(지점 관리자는 자기 지점, 본사는 조회)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GET /staff-change-requests</t>
        </is>
      </c>
    </row>
    <row r="45">
      <c r="A45" s="4" t="inlineStr">
        <is>
          <t>STF-FN-10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인사 변경 신청(직원 본인 — 연락처 등, ADR-STF-09)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POST /staff-change-requests</t>
        </is>
      </c>
    </row>
    <row r="46">
      <c r="A46" s="4" t="inlineStr">
        <is>
          <t>STF-FN-11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인사 변경 신청 취소(대기 중일 때 본인)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DELETE /staff-change-requests/:id</t>
        </is>
      </c>
    </row>
    <row r="47">
      <c r="A47" s="4" t="inlineStr">
        <is>
          <t>STF-FN-12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인사 변경 승인 — 직원 정보에 반영, 변경 이력 기록(지점 관리자 1단계 승인)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/staff-change-requests/:id/approve</t>
        </is>
      </c>
    </row>
    <row r="48">
      <c r="A48" s="4" t="inlineStr">
        <is>
          <t>STF-FN-13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인사 변경 반려(사유)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PATCH /staff-change-requests/:id/reject</t>
        </is>
      </c>
    </row>
    <row r="49">
      <c r="A49" s="4" t="inlineStr">
        <is>
          <t>STF-FN-14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내 인사 변경 신청 목록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/staff-change-requests/mine</t>
        </is>
      </c>
    </row>
    <row r="50">
      <c r="A50" s="9" t="inlineStr">
        <is>
          <t>F03a</t>
        </is>
      </c>
      <c r="B50" s="9" t="inlineStr">
        <is>
          <t>근태관리</t>
        </is>
      </c>
      <c r="C50" s="9" t="inlineStr">
        <is>
          <t>원문 기능</t>
        </is>
      </c>
      <c r="D50" s="9" t="inlineStr">
        <is>
          <t>현장별 &gt; 개인별 근태 등록 관리</t>
        </is>
      </c>
      <c r="E50" s="9" t="inlineStr">
        <is>
          <t>-</t>
        </is>
      </c>
      <c r="F50" s="9" t="inlineStr">
        <is>
          <t>-</t>
        </is>
      </c>
      <c r="G50" s="9" t="inlineStr"/>
    </row>
    <row r="51">
      <c r="A51" s="9" t="inlineStr">
        <is>
          <t>F03b</t>
        </is>
      </c>
      <c r="B51" s="9" t="inlineStr">
        <is>
          <t>근태관리</t>
        </is>
      </c>
      <c r="C51" s="9" t="inlineStr">
        <is>
          <t>원문 기능</t>
        </is>
      </c>
      <c r="D51" s="9" t="inlineStr">
        <is>
          <t>휴무·연차·병가 등 기록 및 일수 관리</t>
        </is>
      </c>
      <c r="E51" s="9" t="inlineStr">
        <is>
          <t>-</t>
        </is>
      </c>
      <c r="F51" s="9" t="inlineStr">
        <is>
          <t>-</t>
        </is>
      </c>
      <c r="G51" s="9" t="inlineStr"/>
    </row>
    <row r="52">
      <c r="A52" s="9" t="inlineStr">
        <is>
          <t>F03c</t>
        </is>
      </c>
      <c r="B52" s="9" t="inlineStr">
        <is>
          <t>근태관리</t>
        </is>
      </c>
      <c r="C52" s="9" t="inlineStr">
        <is>
          <t>원문 기능</t>
        </is>
      </c>
      <c r="D52" s="9" t="inlineStr">
        <is>
          <t>업무일지 작성 관리</t>
        </is>
      </c>
      <c r="E52" s="9" t="inlineStr">
        <is>
          <t>-</t>
        </is>
      </c>
      <c r="F52" s="9" t="inlineStr">
        <is>
          <t>-</t>
        </is>
      </c>
      <c r="G52" s="9" t="inlineStr"/>
    </row>
    <row r="53">
      <c r="A53" s="9" t="inlineStr">
        <is>
          <t>ATT-C04</t>
        </is>
      </c>
      <c r="B53" s="9" t="inlineStr">
        <is>
          <t>근태관리</t>
        </is>
      </c>
      <c r="C53" s="9" t="inlineStr">
        <is>
          <t>원문 제약</t>
        </is>
      </c>
      <c r="D53" s="9" t="inlineStr">
        <is>
          <t>C01(과업 기간)이 간접 제약: 다단계 연차 결재라인·정밀 법정 산정(회계연도 이월/소멸 등)은 1인 개발 범위를 넘어 단순화했다(§0).</t>
        </is>
      </c>
      <c r="E53" s="9" t="inlineStr">
        <is>
          <t>-</t>
        </is>
      </c>
      <c r="F53" s="9" t="inlineStr">
        <is>
          <t>-</t>
        </is>
      </c>
      <c r="G53" s="9" t="inlineStr"/>
    </row>
    <row r="54">
      <c r="A54" s="9" t="inlineStr">
        <is>
          <t>ATT-INV-01</t>
        </is>
      </c>
      <c r="B54" s="9" t="inlineStr">
        <is>
          <t>근태관리</t>
        </is>
      </c>
      <c r="C54" s="9" t="inlineStr">
        <is>
          <t>불변규칙</t>
        </is>
      </c>
      <c r="D54" s="9" t="inlineStr">
        <is>
          <t>같은 직원이 같은 날짜에 두 번 체크인할 수 없다. (ALREADY_CHECKED_IN — 하루 1레코드라는 데이터 모델 자체가 이걸 전제한다)</t>
        </is>
      </c>
      <c r="E54" s="10" t="inlineStr">
        <is>
          <t>구현</t>
        </is>
      </c>
      <c r="F54" s="9" t="inlineStr">
        <is>
          <t>-</t>
        </is>
      </c>
      <c r="G54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5">
      <c r="A55" s="9" t="inlineStr">
        <is>
          <t>ATT-INV-02</t>
        </is>
      </c>
      <c r="B55" s="9" t="inlineStr">
        <is>
          <t>근태관리</t>
        </is>
      </c>
      <c r="C55" s="9" t="inlineStr">
        <is>
          <t>불변규칙</t>
        </is>
      </c>
      <c r="D55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55" s="10" t="inlineStr">
        <is>
          <t>구현</t>
        </is>
      </c>
      <c r="F55" s="9" t="inlineStr">
        <is>
          <t>-</t>
        </is>
      </c>
      <c r="G55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6">
      <c r="A56" s="9" t="inlineStr">
        <is>
          <t>ATT-INV-03</t>
        </is>
      </c>
      <c r="B56" s="9" t="inlineStr">
        <is>
          <t>근태관리</t>
        </is>
      </c>
      <c r="C56" s="9" t="inlineStr">
        <is>
          <t>불변규칙</t>
        </is>
      </c>
      <c r="D56" s="9" t="inlineStr">
        <is>
          <t>BRANCH_ADMIN·STAFF는 자기 소속 범위를 벗어난 근태·휴가·업무일지에 접근할 수 없다. (CLAUDE.md 4대 불변식 — 지점 데이터 격리)</t>
        </is>
      </c>
      <c r="E56" s="10" t="inlineStr">
        <is>
          <t>구현</t>
        </is>
      </c>
      <c r="F56" s="9" t="inlineStr">
        <is>
          <t>-</t>
        </is>
      </c>
      <c r="G56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7">
      <c r="A57" s="9" t="inlineStr">
        <is>
          <t>ATT-FN-01</t>
        </is>
      </c>
      <c r="B57" s="9" t="inlineStr">
        <is>
          <t>근태관리</t>
        </is>
      </c>
      <c r="C57" s="9" t="inlineStr">
        <is>
          <t>기능</t>
        </is>
      </c>
      <c r="D57" s="9" t="inlineStr">
        <is>
          <t>근태 기록 조회(범위별)</t>
        </is>
      </c>
      <c r="E57" s="10" t="inlineStr">
        <is>
          <t>구현</t>
        </is>
      </c>
      <c r="F57" s="9" t="inlineStr">
        <is>
          <t>있음</t>
        </is>
      </c>
      <c r="G57" s="9" t="inlineStr">
        <is>
          <t>GET /attendance</t>
        </is>
      </c>
    </row>
    <row r="58">
      <c r="A58" s="9" t="inlineStr">
        <is>
          <t>ATT-FN-02</t>
        </is>
      </c>
      <c r="B58" s="9" t="inlineStr">
        <is>
          <t>근태관리</t>
        </is>
      </c>
      <c r="C58" s="9" t="inlineStr">
        <is>
          <t>기능</t>
        </is>
      </c>
      <c r="D58" s="9" t="inlineStr">
        <is>
          <t>관리자 근태 정정·누락일 등록 — 사유 필수, 변경 이력 기록(ADR-ATT-04)</t>
        </is>
      </c>
      <c r="E58" s="10" t="inlineStr">
        <is>
          <t>구현</t>
        </is>
      </c>
      <c r="F58" s="9" t="inlineStr">
        <is>
          <t>있음</t>
        </is>
      </c>
      <c r="G58" s="9" t="inlineStr">
        <is>
          <t>PUT /attendance/:staffId/:date</t>
        </is>
      </c>
    </row>
    <row r="59">
      <c r="A59" s="9" t="inlineStr">
        <is>
          <t>ATT-FN-03</t>
        </is>
      </c>
      <c r="B59" s="9" t="inlineStr">
        <is>
          <t>근태관리</t>
        </is>
      </c>
      <c r="C59" s="9" t="inlineStr">
        <is>
          <t>기능</t>
        </is>
      </c>
      <c r="D59" s="9" t="inlineStr">
        <is>
          <t>결근 확정(지점 관리자의 명시적 확정)</t>
        </is>
      </c>
      <c r="E59" s="10" t="inlineStr">
        <is>
          <t>구현</t>
        </is>
      </c>
      <c r="F59" s="9" t="inlineStr">
        <is>
          <t>있음</t>
        </is>
      </c>
      <c r="G59" s="9" t="inlineStr">
        <is>
          <t>POST /attendance/absence-confirm</t>
        </is>
      </c>
    </row>
    <row r="60">
      <c r="A60" s="9" t="inlineStr">
        <is>
          <t>ATT-FN-04</t>
        </is>
      </c>
      <c r="B60" s="9" t="inlineStr">
        <is>
          <t>근태관리</t>
        </is>
      </c>
      <c r="C60" s="9" t="inlineStr">
        <is>
          <t>기능</t>
        </is>
      </c>
      <c r="D60" s="9" t="inlineStr">
        <is>
          <t>결근 예정 미리보기(저장 안 함)</t>
        </is>
      </c>
      <c r="E60" s="10" t="inlineStr">
        <is>
          <t>구현</t>
        </is>
      </c>
      <c r="F60" s="9" t="inlineStr">
        <is>
          <t>있음</t>
        </is>
      </c>
      <c r="G60" s="9" t="inlineStr">
        <is>
          <t>GET /attendance/absence-preview</t>
        </is>
      </c>
    </row>
    <row r="61">
      <c r="A61" s="9" t="inlineStr">
        <is>
          <t>ATT-FN-05</t>
        </is>
      </c>
      <c r="B61" s="9" t="inlineStr">
        <is>
          <t>근태관리</t>
        </is>
      </c>
      <c r="C61" s="9" t="inlineStr">
        <is>
          <t>기능</t>
        </is>
      </c>
      <c r="D61" s="9" t="inlineStr">
        <is>
          <t>출근 체크 — 하루 1회, 지각 자동 판정</t>
        </is>
      </c>
      <c r="E61" s="10" t="inlineStr">
        <is>
          <t>구현</t>
        </is>
      </c>
      <c r="F61" s="9" t="inlineStr">
        <is>
          <t>있음</t>
        </is>
      </c>
      <c r="G61" s="9" t="inlineStr">
        <is>
          <t>POST /attendance/check-in</t>
        </is>
      </c>
    </row>
    <row r="62">
      <c r="A62" s="9" t="inlineStr">
        <is>
          <t>ATT-FN-06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퇴근 체크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POST /attendance/check-out</t>
        </is>
      </c>
    </row>
    <row r="63">
      <c r="A63" s="9" t="inlineStr">
        <is>
          <t>ATT-FN-07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지점 월별 근태 요약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GET /attendance/summary</t>
        </is>
      </c>
    </row>
    <row r="64">
      <c r="A64" s="9" t="inlineStr">
        <is>
          <t>ATT-FN-08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휴가 신청 목록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GET /leave-requests</t>
        </is>
      </c>
    </row>
    <row r="65">
      <c r="A65" s="9" t="inlineStr">
        <is>
          <t>ATT-FN-09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휴가 신청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POST /leave-requests</t>
        </is>
      </c>
    </row>
    <row r="66">
      <c r="A66" s="9" t="inlineStr">
        <is>
          <t>ATT-FN-10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휴가 승인 — 승인 시점에 연차 차감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PATCH /leave-requests/:id/approve</t>
        </is>
      </c>
    </row>
    <row r="67">
      <c r="A67" s="9" t="inlineStr">
        <is>
          <t>ATT-FN-11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휴가 반려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PATCH /leave-requests/:id/reject</t>
        </is>
      </c>
    </row>
    <row r="68">
      <c r="A68" s="9" t="inlineStr">
        <is>
          <t>ATT-FN-12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연차 잔여 조회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/leave-balance/:staffId</t>
        </is>
      </c>
    </row>
    <row r="69">
      <c r="A69" s="9" t="inlineStr">
        <is>
          <t>ATT-FN-13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업무일지 조회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/work-logs</t>
        </is>
      </c>
    </row>
    <row r="70">
      <c r="A70" s="9" t="inlineStr">
        <is>
          <t>ATT-FN-14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업무일지 작성(하루 1건)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/work-logs</t>
        </is>
      </c>
    </row>
    <row r="71">
      <c r="A71" s="4" t="inlineStr">
        <is>
          <t>F04a</t>
        </is>
      </c>
      <c r="B71" s="4" t="inlineStr">
        <is>
          <t>게시판</t>
        </is>
      </c>
      <c r="C71" s="4" t="inlineStr">
        <is>
          <t>원문 기능</t>
        </is>
      </c>
      <c r="D71" s="4" t="inlineStr">
        <is>
          <t>본사→현장(HQ_TO_BRANCH), 현장→이용자(BRANCH_TO_MEMBER) 별도 게시판</t>
        </is>
      </c>
      <c r="E71" s="4" t="inlineStr">
        <is>
          <t>-</t>
        </is>
      </c>
      <c r="F71" s="4" t="inlineStr">
        <is>
          <t>-</t>
        </is>
      </c>
      <c r="G71" s="4" t="inlineStr"/>
    </row>
    <row r="72">
      <c r="A72" s="4" t="inlineStr">
        <is>
          <t>F04b</t>
        </is>
      </c>
      <c r="B72" s="4" t="inlineStr">
        <is>
          <t>게시판</t>
        </is>
      </c>
      <c r="C72" s="4" t="inlineStr">
        <is>
          <t>원문 기능</t>
        </is>
      </c>
      <c r="D72" s="4" t="inlineStr">
        <is>
          <t>본사→현장 게시판에 교육 매뉴얼/자료 탑재</t>
        </is>
      </c>
      <c r="E72" s="4" t="inlineStr">
        <is>
          <t>-</t>
        </is>
      </c>
      <c r="F72" s="4" t="inlineStr">
        <is>
          <t>-</t>
        </is>
      </c>
      <c r="G72" s="4" t="inlineStr"/>
    </row>
    <row r="73">
      <c r="A73" s="4" t="inlineStr">
        <is>
          <t>F04c</t>
        </is>
      </c>
      <c r="B73" s="4" t="inlineStr">
        <is>
          <t>게시판</t>
        </is>
      </c>
      <c r="C73" s="4" t="inlineStr">
        <is>
          <t>원문 기능</t>
        </is>
      </c>
      <c r="D73" s="4" t="inlineStr">
        <is>
          <t>팀장급 직원 대상 2회 이상 대면 교육 실적 기록(산출물4 근거)</t>
        </is>
      </c>
      <c r="E73" s="4" t="inlineStr">
        <is>
          <t>-</t>
        </is>
      </c>
      <c r="F73" s="4" t="inlineStr">
        <is>
          <t>-</t>
        </is>
      </c>
      <c r="G73" s="4" t="inlineStr"/>
    </row>
    <row r="74">
      <c r="A74" s="4" t="inlineStr">
        <is>
          <t>BRD-C04</t>
        </is>
      </c>
      <c r="B74" s="4" t="inlineStr">
        <is>
          <t>게시판</t>
        </is>
      </c>
      <c r="C74" s="4" t="inlineStr">
        <is>
          <t>원문 제약</t>
        </is>
      </c>
      <c r="D7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4" s="4" t="inlineStr">
        <is>
          <t>-</t>
        </is>
      </c>
      <c r="F74" s="4" t="inlineStr">
        <is>
          <t>-</t>
        </is>
      </c>
      <c r="G74" s="4" t="inlineStr"/>
    </row>
    <row r="75">
      <c r="A75" s="4" t="inlineStr">
        <is>
          <t>BRD-INV-01</t>
        </is>
      </c>
      <c r="B75" s="4" t="inlineStr">
        <is>
          <t>게시판</t>
        </is>
      </c>
      <c r="C75" s="4" t="inlineStr">
        <is>
          <t>불변규칙</t>
        </is>
      </c>
      <c r="D75" s="4" t="inlineStr">
        <is>
          <t>BRANCH_TO_MEMBER 게시글은 작성 지점 회원에게만 노출된다. (CLAUDE.md 지점 데이터 격리 정신의 연장 — 타 지점 공지가 새어나가면 안 됨)</t>
        </is>
      </c>
      <c r="E75" s="10" t="inlineStr">
        <is>
          <t>구현</t>
        </is>
      </c>
      <c r="F75" s="4" t="inlineStr">
        <is>
          <t>-</t>
        </is>
      </c>
      <c r="G75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76">
      <c r="A76" s="4" t="inlineStr">
        <is>
          <t>BRD-INV-02</t>
        </is>
      </c>
      <c r="B76" s="4" t="inlineStr">
        <is>
          <t>게시판</t>
        </is>
      </c>
      <c r="C76" s="4" t="inlineStr">
        <is>
          <t>불변규칙</t>
        </is>
      </c>
      <c r="D76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76" s="10" t="inlineStr">
        <is>
          <t>구현</t>
        </is>
      </c>
      <c r="F76" s="4" t="inlineStr">
        <is>
          <t>-</t>
        </is>
      </c>
      <c r="G76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77">
      <c r="A77" s="4" t="inlineStr">
        <is>
          <t>BRD-FN-01</t>
        </is>
      </c>
      <c r="B77" s="4" t="inlineStr">
        <is>
          <t>게시판</t>
        </is>
      </c>
      <c r="C77" s="4" t="inlineStr">
        <is>
          <t>기능</t>
        </is>
      </c>
      <c r="D77" s="4" t="inlineStr">
        <is>
          <t>게시글 목록 — 범위별 권한, 회원 공개 필터, 페이지네이션</t>
        </is>
      </c>
      <c r="E77" s="10" t="inlineStr">
        <is>
          <t>구현</t>
        </is>
      </c>
      <c r="F77" s="4" t="inlineStr">
        <is>
          <t>있음</t>
        </is>
      </c>
      <c r="G77" s="4" t="inlineStr">
        <is>
          <t>GET /posts</t>
        </is>
      </c>
    </row>
    <row r="78">
      <c r="A78" s="4" t="inlineStr">
        <is>
          <t>BRD-FN-02</t>
        </is>
      </c>
      <c r="B78" s="4" t="inlineStr">
        <is>
          <t>게시판</t>
        </is>
      </c>
      <c r="C78" s="4" t="inlineStr">
        <is>
          <t>기능</t>
        </is>
      </c>
      <c r="D78" s="4" t="inlineStr">
        <is>
          <t>게시글 작성 — 계약 종료 지점 차단</t>
        </is>
      </c>
      <c r="E78" s="10" t="inlineStr">
        <is>
          <t>구현</t>
        </is>
      </c>
      <c r="F78" s="4" t="inlineStr">
        <is>
          <t>있음</t>
        </is>
      </c>
      <c r="G78" s="4" t="inlineStr">
        <is>
          <t>POST /posts</t>
        </is>
      </c>
    </row>
    <row r="79">
      <c r="A79" s="4" t="inlineStr">
        <is>
          <t>BRD-FN-03</t>
        </is>
      </c>
      <c r="B79" s="4" t="inlineStr">
        <is>
          <t>게시판</t>
        </is>
      </c>
      <c r="C79" s="4" t="inlineStr">
        <is>
          <t>기능</t>
        </is>
      </c>
      <c r="D79" s="4" t="inlineStr">
        <is>
          <t>게시글 삭제(소프트, 작성자 또는 본사)</t>
        </is>
      </c>
      <c r="E79" s="10" t="inlineStr">
        <is>
          <t>구현</t>
        </is>
      </c>
      <c r="F79" s="4" t="inlineStr">
        <is>
          <t>있음</t>
        </is>
      </c>
      <c r="G79" s="4" t="inlineStr">
        <is>
          <t>DELETE /posts/:id</t>
        </is>
      </c>
    </row>
    <row r="80">
      <c r="A80" s="4" t="inlineStr">
        <is>
          <t>BRD-FN-04</t>
        </is>
      </c>
      <c r="B80" s="4" t="inlineStr">
        <is>
          <t>게시판</t>
        </is>
      </c>
      <c r="C80" s="4" t="inlineStr">
        <is>
          <t>기능</t>
        </is>
      </c>
      <c r="D80" s="4" t="inlineStr">
        <is>
          <t>게시글 상세 — 조회수 증가</t>
        </is>
      </c>
      <c r="E80" s="10" t="inlineStr">
        <is>
          <t>구현</t>
        </is>
      </c>
      <c r="F80" s="4" t="inlineStr">
        <is>
          <t>있음</t>
        </is>
      </c>
      <c r="G80" s="4" t="inlineStr">
        <is>
          <t>GET /posts/:id</t>
        </is>
      </c>
    </row>
    <row r="81">
      <c r="A81" s="4" t="inlineStr">
        <is>
          <t>BRD-FN-05</t>
        </is>
      </c>
      <c r="B81" s="4" t="inlineStr">
        <is>
          <t>게시판</t>
        </is>
      </c>
      <c r="C81" s="4" t="inlineStr">
        <is>
          <t>기능</t>
        </is>
      </c>
      <c r="D81" s="4" t="inlineStr">
        <is>
          <t>게시글 수정(작성자)</t>
        </is>
      </c>
      <c r="E81" s="10" t="inlineStr">
        <is>
          <t>구현</t>
        </is>
      </c>
      <c r="F81" s="4" t="inlineStr">
        <is>
          <t>있음</t>
        </is>
      </c>
      <c r="G81" s="4" t="inlineStr">
        <is>
          <t>PATCH /posts/:id</t>
        </is>
      </c>
    </row>
    <row r="82">
      <c r="A82" s="4" t="inlineStr">
        <is>
          <t>BRD-FN-06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첨부 붙이기 — 저장소의 실제 크기·형식 재확인, 글당 5개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POST /posts/:id/attachments</t>
        </is>
      </c>
    </row>
    <row r="83">
      <c r="A83" s="4" t="inlineStr">
        <is>
          <t>BRD-FN-07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첨부 삭제(작성자 또는 본사)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DELETE /posts/:id/attachments/:attachmentId</t>
        </is>
      </c>
    </row>
    <row r="84">
      <c r="A84" s="4" t="inlineStr">
        <is>
          <t>BRD-FN-08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첨부 내려받기 URL(글을 볼 수 있는 사람, 60초)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GET /posts/:id/attachments/:attachmentId/download</t>
        </is>
      </c>
    </row>
    <row r="85">
      <c r="A85" s="4" t="inlineStr">
        <is>
          <t>BRD-FN-09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첨부 업로드 URL 발급(작성자) — 형식·크기·개수 검사, 1회용 서명 URL(ADR-BRD-04·D57)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POST /posts/:id/attachments/upload-url</t>
        </is>
      </c>
    </row>
    <row r="86">
      <c r="A86" s="9" t="inlineStr">
        <is>
          <t>F05a</t>
        </is>
      </c>
      <c r="B86" s="9" t="inlineStr">
        <is>
          <t>회원관리</t>
        </is>
      </c>
      <c r="C86" s="9" t="inlineStr">
        <is>
          <t>원문 기능</t>
        </is>
      </c>
      <c r="D86" s="9" t="inlineStr">
        <is>
          <t>각 현장별 회원 인적사항·프로그램 수강내역·예약및결제내역·PT잔여세션 기록</t>
        </is>
      </c>
      <c r="E86" s="9" t="inlineStr">
        <is>
          <t>-</t>
        </is>
      </c>
      <c r="F86" s="9" t="inlineStr">
        <is>
          <t>-</t>
        </is>
      </c>
      <c r="G86" s="9" t="inlineStr"/>
    </row>
    <row r="87">
      <c r="A87" s="9" t="inlineStr">
        <is>
          <t>F05b</t>
        </is>
      </c>
      <c r="B87" s="9" t="inlineStr">
        <is>
          <t>회원관리</t>
        </is>
      </c>
      <c r="C87" s="9" t="inlineStr">
        <is>
          <t>원문 기능</t>
        </is>
      </c>
      <c r="D87" s="9" t="inlineStr">
        <is>
          <t>현장관리자는 해당 현장 회원정보만 확인(타 현장 조회 불가)</t>
        </is>
      </c>
      <c r="E87" s="9" t="inlineStr">
        <is>
          <t>-</t>
        </is>
      </c>
      <c r="F87" s="9" t="inlineStr">
        <is>
          <t>-</t>
        </is>
      </c>
      <c r="G87" s="9" t="inlineStr"/>
    </row>
    <row r="88">
      <c r="A88" s="9" t="inlineStr">
        <is>
          <t>Q10</t>
        </is>
      </c>
      <c r="B88" s="9" t="inlineStr">
        <is>
          <t>회원관리</t>
        </is>
      </c>
      <c r="C88" s="9" t="inlineStr">
        <is>
          <t>원문 품질</t>
        </is>
      </c>
      <c r="D88" s="9" t="inlineStr">
        <is>
          <t>인사·회원 등 개인정보가 별도 절차 없이 노출되지 않음(전화번호 마스킹 등)</t>
        </is>
      </c>
      <c r="E88" s="9" t="inlineStr">
        <is>
          <t>-</t>
        </is>
      </c>
      <c r="F88" s="9" t="inlineStr">
        <is>
          <t>-</t>
        </is>
      </c>
      <c r="G88" s="9" t="inlineStr"/>
    </row>
    <row r="89">
      <c r="A89" s="9" t="inlineStr">
        <is>
          <t>Q11</t>
        </is>
      </c>
      <c r="B89" s="9" t="inlineStr">
        <is>
          <t>회원관리</t>
        </is>
      </c>
      <c r="C89" s="9" t="inlineStr">
        <is>
          <t>원문 품질</t>
        </is>
      </c>
      <c r="D89" s="9" t="inlineStr">
        <is>
          <t>접근 통제가 그룹별·개인별·기능별로 구체적이어야 함</t>
        </is>
      </c>
      <c r="E89" s="9" t="inlineStr">
        <is>
          <t>-</t>
        </is>
      </c>
      <c r="F89" s="9" t="inlineStr">
        <is>
          <t>-</t>
        </is>
      </c>
      <c r="G89" s="9" t="inlineStr"/>
    </row>
    <row r="90">
      <c r="A90" s="9" t="inlineStr">
        <is>
          <t>MEM-C05</t>
        </is>
      </c>
      <c r="B90" s="9" t="inlineStr">
        <is>
          <t>회원관리</t>
        </is>
      </c>
      <c r="C90" s="9" t="inlineStr">
        <is>
          <t>원문 제약</t>
        </is>
      </c>
      <c r="D90" s="9" t="inlineStr">
        <is>
          <t>C03(개인정보보호법 제26조)이 직접 제약: Member는 이 법이 다루는 개인정보 그 자체이고, 본사-지점 위탁관계 하에서 처리된다.</t>
        </is>
      </c>
      <c r="E90" s="9" t="inlineStr">
        <is>
          <t>-</t>
        </is>
      </c>
      <c r="F90" s="9" t="inlineStr">
        <is>
          <t>-</t>
        </is>
      </c>
      <c r="G90" s="9" t="inlineStr"/>
    </row>
    <row r="91">
      <c r="A91" s="9" t="inlineStr">
        <is>
          <t>MEM-INV-01</t>
        </is>
      </c>
      <c r="B91" s="9" t="inlineStr">
        <is>
          <t>회원관리</t>
        </is>
      </c>
      <c r="C91" s="9" t="inlineStr">
        <is>
          <t>불변규칙</t>
        </is>
      </c>
      <c r="D91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1" s="10" t="inlineStr">
        <is>
          <t>구현</t>
        </is>
      </c>
      <c r="F91" s="9" t="inlineStr">
        <is>
          <t>-</t>
        </is>
      </c>
      <c r="G91" s="9" t="inlineStr">
        <is>
          <t>member-register·member-link·branches-public·member-detail-summary·members-validation·phone-masking·phone-view-audit·contract-termination·branch-isolation spec</t>
        </is>
      </c>
    </row>
    <row r="92">
      <c r="A92" s="9" t="inlineStr">
        <is>
          <t>MEM-INV-02</t>
        </is>
      </c>
      <c r="B92" s="9" t="inlineStr">
        <is>
          <t>회원관리</t>
        </is>
      </c>
      <c r="C92" s="9" t="inlineStr">
        <is>
          <t>불변규칙</t>
        </is>
      </c>
      <c r="D92" s="9" t="inlineStr">
        <is>
          <t>위탁계약이 TERMINATED된 지점에는 신규 회원을 등록할 수 없다. (CLAUDE.md 4대 불변식 — 계약 종료 지점 차단)</t>
        </is>
      </c>
      <c r="E92" s="10" t="inlineStr">
        <is>
          <t>구현</t>
        </is>
      </c>
      <c r="F92" s="9" t="inlineStr">
        <is>
          <t>-</t>
        </is>
      </c>
      <c r="G92" s="9" t="inlineStr">
        <is>
          <t>member-register·member-link·branches-public·member-detail-summary·members-validation·phone-masking·phone-view-audit·contract-termination·branch-isolation spec</t>
        </is>
      </c>
    </row>
    <row r="93">
      <c r="A93" s="9" t="inlineStr">
        <is>
          <t>MEM-INV-03</t>
        </is>
      </c>
      <c r="B93" s="9" t="inlineStr">
        <is>
          <t>회원관리</t>
        </is>
      </c>
      <c r="C93" s="9" t="inlineStr">
        <is>
          <t>불변규칙</t>
        </is>
      </c>
      <c r="D93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3" s="10" t="inlineStr">
        <is>
          <t>구현</t>
        </is>
      </c>
      <c r="F93" s="9" t="inlineStr">
        <is>
          <t>-</t>
        </is>
      </c>
      <c r="G93" s="9" t="inlineStr">
        <is>
          <t>member-register·member-link·branches-public·member-detail-summary·members-validation·phone-masking·phone-view-audit·contract-termination·branch-isolation spec</t>
        </is>
      </c>
    </row>
    <row r="94">
      <c r="A94" s="9" t="inlineStr">
        <is>
          <t>MEM-FN-01</t>
        </is>
      </c>
      <c r="B94" s="9" t="inlineStr">
        <is>
          <t>회원관리</t>
        </is>
      </c>
      <c r="C94" s="9" t="inlineStr">
        <is>
          <t>기능</t>
        </is>
      </c>
      <c r="D94" s="9" t="inlineStr">
        <is>
          <t>회원 목록(지점 범위) — 페이지네이션(D43), 전화번호 마스킹(ADR-MEM-04)</t>
        </is>
      </c>
      <c r="E94" s="10" t="inlineStr">
        <is>
          <t>구현</t>
        </is>
      </c>
      <c r="F94" s="9" t="inlineStr">
        <is>
          <t>있음</t>
        </is>
      </c>
      <c r="G94" s="9" t="inlineStr">
        <is>
          <t>GET /members</t>
        </is>
      </c>
    </row>
    <row r="95">
      <c r="A95" s="9" t="inlineStr">
        <is>
          <t>MEM-FN-02</t>
        </is>
      </c>
      <c r="B95" s="9" t="inlineStr">
        <is>
          <t>회원관리</t>
        </is>
      </c>
      <c r="C95" s="9" t="inlineStr">
        <is>
          <t>기능</t>
        </is>
      </c>
      <c r="D95" s="9" t="inlineStr">
        <is>
          <t>회원 등록 — 미성년 보호자 동의 확인, 계약 종료 지점 차단</t>
        </is>
      </c>
      <c r="E95" s="10" t="inlineStr">
        <is>
          <t>구현</t>
        </is>
      </c>
      <c r="F95" s="9" t="inlineStr">
        <is>
          <t>있음</t>
        </is>
      </c>
      <c r="G95" s="9" t="inlineStr">
        <is>
          <t>POST /members</t>
        </is>
      </c>
    </row>
    <row r="96">
      <c r="A96" s="9" t="inlineStr">
        <is>
          <t>MEM-FN-03</t>
        </is>
      </c>
      <c r="B96" s="9" t="inlineStr">
        <is>
          <t>회원관리</t>
        </is>
      </c>
      <c r="C96" s="9" t="inlineStr">
        <is>
          <t>기능</t>
        </is>
      </c>
      <c r="D96" s="9" t="inlineStr">
        <is>
          <t>회원 상세 + 요약(수강·PT·예약) — 관리자가 열면 열람 기록(PHONE_VIEWED, D47)</t>
        </is>
      </c>
      <c r="E96" s="10" t="inlineStr">
        <is>
          <t>구현</t>
        </is>
      </c>
      <c r="F96" s="9" t="inlineStr">
        <is>
          <t>있음</t>
        </is>
      </c>
      <c r="G96" s="9" t="inlineStr">
        <is>
          <t>GET /members/:id</t>
        </is>
      </c>
    </row>
    <row r="97">
      <c r="A97" s="9" t="inlineStr">
        <is>
          <t>MEM-FN-04</t>
        </is>
      </c>
      <c r="B97" s="9" t="inlineStr">
        <is>
          <t>회원관리</t>
        </is>
      </c>
      <c r="C97" s="9" t="inlineStr">
        <is>
          <t>기능</t>
        </is>
      </c>
      <c r="D97" s="9" t="inlineStr">
        <is>
          <t>회원 정보 수정</t>
        </is>
      </c>
      <c r="E97" s="10" t="inlineStr">
        <is>
          <t>구현</t>
        </is>
      </c>
      <c r="F97" s="9" t="inlineStr">
        <is>
          <t>있음</t>
        </is>
      </c>
      <c r="G97" s="9" t="inlineStr">
        <is>
          <t>PATCH /members/:id</t>
        </is>
      </c>
    </row>
    <row r="98">
      <c r="A98" s="9" t="inlineStr">
        <is>
          <t>MEM-FN-05</t>
        </is>
      </c>
      <c r="B98" s="9" t="inlineStr">
        <is>
          <t>회원관리</t>
        </is>
      </c>
      <c r="C98" s="9" t="inlineStr">
        <is>
          <t>기능</t>
        </is>
      </c>
      <c r="D98" s="9" t="inlineStr">
        <is>
          <t>수강 내역</t>
        </is>
      </c>
      <c r="E98" s="10" t="inlineStr">
        <is>
          <t>구현</t>
        </is>
      </c>
      <c r="F98" s="9" t="inlineStr">
        <is>
          <t>있음</t>
        </is>
      </c>
      <c r="G98" s="9" t="inlineStr">
        <is>
          <t>GET /members/:id/enrollments</t>
        </is>
      </c>
    </row>
    <row r="99">
      <c r="A99" s="9" t="inlineStr">
        <is>
          <t>MEM-FN-06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수강 등록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POST /members/:id/enrollments</t>
        </is>
      </c>
    </row>
    <row r="100">
      <c r="A100" s="9" t="inlineStr">
        <is>
          <t>MEM-FN-07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PT 세션권 목록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GET /members/:id/pt-sessions</t>
        </is>
      </c>
    </row>
    <row r="101">
      <c r="A101" s="9" t="inlineStr">
        <is>
          <t>MEM-FN-08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PT 세션권 등록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POST /members/:id/pt-sessions</t>
        </is>
      </c>
    </row>
    <row r="102">
      <c r="A102" s="9" t="inlineStr">
        <is>
          <t>MEM-FN-09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PT 1회 차감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POST /members/:id/pt-sessions/:sessionId/use</t>
        </is>
      </c>
    </row>
    <row r="103">
      <c r="A103" s="9" t="inlineStr">
        <is>
          <t>MEM-FN-10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회원 상태 전환(활성·휴면·탈퇴)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PATCH /members/:id/status</t>
        </is>
      </c>
    </row>
    <row r="104">
      <c r="A104" s="9" t="inlineStr">
        <is>
          <t>MEM-FN-11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오프라인 회원 ↔ 온라인 계정 연동(공개, 회원번호+전화번호 동시 일치, 시도 제한) — 회원 웹 /link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/members/link</t>
        </is>
      </c>
    </row>
    <row r="105">
      <c r="A105" s="9" t="inlineStr">
        <is>
          <t>MEM-FN-12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회원 자체 가입(공개) — 회원 웹 /signup(지점 선택은 공개 지점 목록, ADR-MEM-05)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POST /members/register</t>
        </is>
      </c>
    </row>
    <row r="106">
      <c r="A106" s="4" t="inlineStr">
        <is>
          <t>F06a</t>
        </is>
      </c>
      <c r="B106" s="4" t="inlineStr">
        <is>
          <t>예약및결제</t>
        </is>
      </c>
      <c r="C106" s="4" t="inlineStr">
        <is>
          <t>원문 기능</t>
        </is>
      </c>
      <c r="D106" s="4" t="inlineStr">
        <is>
          <t>무/유료 프로그램 정보 게시 후 프로그램별 예약</t>
        </is>
      </c>
      <c r="E106" s="4" t="inlineStr">
        <is>
          <t>-</t>
        </is>
      </c>
      <c r="F106" s="4" t="inlineStr">
        <is>
          <t>-</t>
        </is>
      </c>
      <c r="G106" s="4" t="inlineStr"/>
    </row>
    <row r="107">
      <c r="A107" s="4" t="inlineStr">
        <is>
          <t>F06b</t>
        </is>
      </c>
      <c r="B107" s="4" t="inlineStr">
        <is>
          <t>예약및결제</t>
        </is>
      </c>
      <c r="C107" s="4" t="inlineStr">
        <is>
          <t>원문 기능</t>
        </is>
      </c>
      <c r="D107" s="4" t="inlineStr">
        <is>
          <t>모바일 결제 기능</t>
        </is>
      </c>
      <c r="E107" s="4" t="inlineStr">
        <is>
          <t>-</t>
        </is>
      </c>
      <c r="F107" s="4" t="inlineStr">
        <is>
          <t>-</t>
        </is>
      </c>
      <c r="G107" s="4" t="inlineStr"/>
    </row>
    <row r="108">
      <c r="A108" s="4" t="inlineStr">
        <is>
          <t>F06c</t>
        </is>
      </c>
      <c r="B108" s="4" t="inlineStr">
        <is>
          <t>예약및결제</t>
        </is>
      </c>
      <c r="C108" s="4" t="inlineStr">
        <is>
          <t>원문 기능</t>
        </is>
      </c>
      <c r="D108" s="4" t="inlineStr">
        <is>
          <t>결제내역 처리방법(RFP 원문 "추후 논의")</t>
        </is>
      </c>
      <c r="E108" s="4" t="inlineStr">
        <is>
          <t>-</t>
        </is>
      </c>
      <c r="F108" s="4" t="inlineStr">
        <is>
          <t>-</t>
        </is>
      </c>
      <c r="G108" s="4" t="inlineStr"/>
    </row>
    <row r="109">
      <c r="A109" s="4" t="inlineStr">
        <is>
          <t>Q20</t>
        </is>
      </c>
      <c r="B109" s="4" t="inlineStr">
        <is>
          <t>예약및결제</t>
        </is>
      </c>
      <c r="C109" s="4" t="inlineStr">
        <is>
          <t>원문 품질</t>
        </is>
      </c>
      <c r="D109" s="4" t="inlineStr">
        <is>
          <t>결제시스템은 금융·보안기관 시스템에 연계 가능 여부 확인</t>
        </is>
      </c>
      <c r="E109" s="4" t="inlineStr">
        <is>
          <t>-</t>
        </is>
      </c>
      <c r="F109" s="4" t="inlineStr">
        <is>
          <t>-</t>
        </is>
      </c>
      <c r="G109" s="4" t="inlineStr"/>
    </row>
    <row r="110">
      <c r="A110" s="4" t="inlineStr">
        <is>
          <t>RSV-C05</t>
        </is>
      </c>
      <c r="B110" s="4" t="inlineStr">
        <is>
          <t>예약및결제</t>
        </is>
      </c>
      <c r="C110" s="4" t="inlineStr">
        <is>
          <t>원문 제약</t>
        </is>
      </c>
      <c r="D110" s="4" t="inlineStr">
        <is>
          <t>C01(과업 기간)·인프라 부재: 스케줄러가 없어 "5분 결제 미완료 자동취소", "노쇼 자동 처리"는 범위 제외(§8).</t>
        </is>
      </c>
      <c r="E110" s="4" t="inlineStr">
        <is>
          <t>-</t>
        </is>
      </c>
      <c r="F110" s="4" t="inlineStr">
        <is>
          <t>-</t>
        </is>
      </c>
      <c r="G110" s="4" t="inlineStr"/>
    </row>
    <row r="111">
      <c r="A111" s="4" t="inlineStr">
        <is>
          <t>RSV-INV-01</t>
        </is>
      </c>
      <c r="B111" s="4" t="inlineStr">
        <is>
          <t>예약및결제</t>
        </is>
      </c>
      <c r="C111" s="4" t="inlineStr">
        <is>
          <t>불변규칙</t>
        </is>
      </c>
      <c r="D11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1" s="10" t="inlineStr">
        <is>
          <t>구현</t>
        </is>
      </c>
      <c r="F111" s="4" t="inlineStr">
        <is>
          <t>-</t>
        </is>
      </c>
      <c r="G111" s="4" t="inlineStr">
        <is>
          <t>reservation-capacity(실DB 동시성·결제 이중 승인)·catalog-flow·contract-termination·branch-isolation spec</t>
        </is>
      </c>
    </row>
    <row r="112">
      <c r="A112" s="4" t="inlineStr">
        <is>
          <t>RSV-INV-02</t>
        </is>
      </c>
      <c r="B112" s="4" t="inlineStr">
        <is>
          <t>예약및결제</t>
        </is>
      </c>
      <c r="C112" s="4" t="inlineStr">
        <is>
          <t>불변규칙</t>
        </is>
      </c>
      <c r="D112" s="4" t="inlineStr">
        <is>
          <t>동일 회원이 같은 회차에 활성(REQUESTED/CONFIRMED) 예약을 중복으로 가질 수 없다.</t>
        </is>
      </c>
      <c r="E112" s="10" t="inlineStr">
        <is>
          <t>구현</t>
        </is>
      </c>
      <c r="F112" s="4" t="inlineStr">
        <is>
          <t>-</t>
        </is>
      </c>
      <c r="G112" s="4" t="inlineStr">
        <is>
          <t>reservation-capacity(실DB 동시성·결제 이중 승인)·catalog-flow·contract-termination·branch-isolation spec</t>
        </is>
      </c>
    </row>
    <row r="113">
      <c r="A113" s="4" t="inlineStr">
        <is>
          <t>RSV-INV-03</t>
        </is>
      </c>
      <c r="B113" s="4" t="inlineStr">
        <is>
          <t>예약및결제</t>
        </is>
      </c>
      <c r="C113" s="4" t="inlineStr">
        <is>
          <t>불변규칙</t>
        </is>
      </c>
      <c r="D113" s="4" t="inlineStr">
        <is>
          <t>위탁계약이 TERMINATED된 지점에는 신규 예약이 생성될 수 없다. (CLAUDE.md 4대 불변식 — 계약 종료 지점 차단)</t>
        </is>
      </c>
      <c r="E113" s="10" t="inlineStr">
        <is>
          <t>구현</t>
        </is>
      </c>
      <c r="F113" s="4" t="inlineStr">
        <is>
          <t>-</t>
        </is>
      </c>
      <c r="G113" s="4" t="inlineStr">
        <is>
          <t>reservation-capacity(실DB 동시성·결제 이중 승인)·catalog-flow·contract-termination·branch-isolation spec</t>
        </is>
      </c>
    </row>
    <row r="114">
      <c r="A114" s="4" t="inlineStr">
        <is>
          <t>RSV-INV-04</t>
        </is>
      </c>
      <c r="B114" s="4" t="inlineStr">
        <is>
          <t>예약및결제</t>
        </is>
      </c>
      <c r="C114" s="4" t="inlineStr">
        <is>
          <t>불변규칙</t>
        </is>
      </c>
      <c r="D114" s="4" t="inlineStr">
        <is>
          <t>결제 금액은 클라이언트가 아니라 서버가 Program 가격을 재조회해 결정한다. (기본적인 결제 보안 원칙 — 협의 대상 아님)</t>
        </is>
      </c>
      <c r="E114" s="10" t="inlineStr">
        <is>
          <t>구현</t>
        </is>
      </c>
      <c r="F114" s="4" t="inlineStr">
        <is>
          <t>-</t>
        </is>
      </c>
      <c r="G114" s="4" t="inlineStr">
        <is>
          <t>reservation-capacity(실DB 동시성·결제 이중 승인)·catalog-flow·contract-termination·branch-isolation spec</t>
        </is>
      </c>
    </row>
    <row r="115">
      <c r="A115" s="4" t="inlineStr">
        <is>
          <t>RSV-FN-01</t>
        </is>
      </c>
      <c r="B115" s="4" t="inlineStr">
        <is>
          <t>예약및결제</t>
        </is>
      </c>
      <c r="C115" s="4" t="inlineStr">
        <is>
          <t>기능</t>
        </is>
      </c>
      <c r="D115" s="4" t="inlineStr">
        <is>
          <t>예약 목록(범위별, 페이지네이션 D43)</t>
        </is>
      </c>
      <c r="E115" s="10" t="inlineStr">
        <is>
          <t>구현</t>
        </is>
      </c>
      <c r="F115" s="4" t="inlineStr">
        <is>
          <t>있음</t>
        </is>
      </c>
      <c r="G115" s="4" t="inlineStr">
        <is>
          <t>GET /reservations</t>
        </is>
      </c>
    </row>
    <row r="116">
      <c r="A116" s="4" t="inlineStr">
        <is>
          <t>RSV-FN-02</t>
        </is>
      </c>
      <c r="B116" s="4" t="inlineStr">
        <is>
          <t>예약및결제</t>
        </is>
      </c>
      <c r="C116" s="4" t="inlineStr">
        <is>
          <t>기능</t>
        </is>
      </c>
      <c r="D116" s="4" t="inlineStr">
        <is>
          <t>회차 예약 — 회차 잠금, 지점·계약·지난 회차(409)·중복·정원 확인</t>
        </is>
      </c>
      <c r="E116" s="10" t="inlineStr">
        <is>
          <t>구현</t>
        </is>
      </c>
      <c r="F116" s="4" t="inlineStr">
        <is>
          <t>있음</t>
        </is>
      </c>
      <c r="G116" s="4" t="inlineStr">
        <is>
          <t>POST /reservations</t>
        </is>
      </c>
    </row>
    <row r="117">
      <c r="A117" s="4" t="inlineStr">
        <is>
          <t>RSV-FN-03</t>
        </is>
      </c>
      <c r="B117" s="4" t="inlineStr">
        <is>
          <t>예약및결제</t>
        </is>
      </c>
      <c r="C117" s="4" t="inlineStr">
        <is>
          <t>기능</t>
        </is>
      </c>
      <c r="D117" s="4" t="inlineStr">
        <is>
          <t>예약 취소 — 마감 전이면 환불</t>
        </is>
      </c>
      <c r="E117" s="10" t="inlineStr">
        <is>
          <t>구현</t>
        </is>
      </c>
      <c r="F117" s="4" t="inlineStr">
        <is>
          <t>있음</t>
        </is>
      </c>
      <c r="G117" s="4" t="inlineStr">
        <is>
          <t>PATCH /reservations/:id/cancel</t>
        </is>
      </c>
    </row>
    <row r="118">
      <c r="A118" s="4" t="inlineStr">
        <is>
          <t>RSV-FN-04</t>
        </is>
      </c>
      <c r="B118" s="4" t="inlineStr">
        <is>
          <t>예약및결제</t>
        </is>
      </c>
      <c r="C118" s="4" t="inlineStr">
        <is>
          <t>기능</t>
        </is>
      </c>
      <c r="D118" s="4" t="inlineStr">
        <is>
          <t>현장 체크인(완료 처리)</t>
        </is>
      </c>
      <c r="E118" s="10" t="inlineStr">
        <is>
          <t>구현</t>
        </is>
      </c>
      <c r="F118" s="4" t="inlineStr">
        <is>
          <t>있음</t>
        </is>
      </c>
      <c r="G118" s="4" t="inlineStr">
        <is>
          <t>PATCH /reservations/:id/check-in</t>
        </is>
      </c>
    </row>
    <row r="119">
      <c r="A119" s="4" t="inlineStr">
        <is>
          <t>RSV-FN-05</t>
        </is>
      </c>
      <c r="B119" s="4" t="inlineStr">
        <is>
          <t>예약및결제</t>
        </is>
      </c>
      <c r="C119" s="4" t="inlineStr">
        <is>
          <t>기능</t>
        </is>
      </c>
      <c r="D119" s="4" t="inlineStr">
        <is>
          <t>결제 내역(매출, 기간 필터·페이지네이션)</t>
        </is>
      </c>
      <c r="E119" s="10" t="inlineStr">
        <is>
          <t>구현</t>
        </is>
      </c>
      <c r="F119" s="4" t="inlineStr">
        <is>
          <t>있음</t>
        </is>
      </c>
      <c r="G119" s="4" t="inlineStr">
        <is>
          <t>GET /payments</t>
        </is>
      </c>
    </row>
    <row r="120">
      <c r="A120" s="4" t="inlineStr">
        <is>
          <t>RSV-FN-06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모의 결제 승인 → 예약 확정(대기일 때 한 번만)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POST /payments/:reservationId/mock-pay</t>
        </is>
      </c>
    </row>
    <row r="121">
      <c r="A121" s="9" t="inlineStr">
        <is>
          <t>F07a</t>
        </is>
      </c>
      <c r="B121" s="9" t="inlineStr">
        <is>
          <t>강사프로그램게시</t>
        </is>
      </c>
      <c r="C121" s="9" t="inlineStr">
        <is>
          <t>원문 기능</t>
        </is>
      </c>
      <c r="D121" s="9" t="inlineStr">
        <is>
          <t>각 현장의 종목별 강사·프로그램 정보 게시</t>
        </is>
      </c>
      <c r="E121" s="9" t="inlineStr">
        <is>
          <t>-</t>
        </is>
      </c>
      <c r="F121" s="9" t="inlineStr">
        <is>
          <t>-</t>
        </is>
      </c>
      <c r="G121" s="9" t="inlineStr"/>
    </row>
    <row r="122">
      <c r="A122" s="9" t="inlineStr">
        <is>
          <t>F07b</t>
        </is>
      </c>
      <c r="B122" s="9" t="inlineStr">
        <is>
          <t>강사프로그램게시</t>
        </is>
      </c>
      <c r="C122" s="9" t="inlineStr">
        <is>
          <t>원문 기능</t>
        </is>
      </c>
      <c r="D122" s="9" t="inlineStr">
        <is>
          <t>종목별/시간대별/연령대별 프로그램 리스트 게시</t>
        </is>
      </c>
      <c r="E122" s="9" t="inlineStr">
        <is>
          <t>-</t>
        </is>
      </c>
      <c r="F122" s="9" t="inlineStr">
        <is>
          <t>-</t>
        </is>
      </c>
      <c r="G122" s="9" t="inlineStr"/>
    </row>
    <row r="123">
      <c r="A123" s="9" t="inlineStr">
        <is>
          <t>PRG-C03</t>
        </is>
      </c>
      <c r="B123" s="9" t="inlineStr">
        <is>
          <t>강사프로그램게시</t>
        </is>
      </c>
      <c r="C123" s="9" t="inlineStr">
        <is>
          <t>원문 제약</t>
        </is>
      </c>
      <c r="D123" s="9" t="inlineStr">
        <is>
          <t>없음(1인 개발 부담이 크지 않다고 §0이 이미 판단).</t>
        </is>
      </c>
      <c r="E123" s="9" t="inlineStr">
        <is>
          <t>-</t>
        </is>
      </c>
      <c r="F123" s="9" t="inlineStr">
        <is>
          <t>-</t>
        </is>
      </c>
      <c r="G123" s="9" t="inlineStr"/>
    </row>
    <row r="124">
      <c r="A124" s="9" t="inlineStr">
        <is>
          <t>PRG-INV-01</t>
        </is>
      </c>
      <c r="B124" s="9" t="inlineStr">
        <is>
          <t>강사프로그램게시</t>
        </is>
      </c>
      <c r="C124" s="9" t="inlineStr">
        <is>
          <t>불변규칙</t>
        </is>
      </c>
      <c r="D124" s="9" t="inlineStr">
        <is>
          <t>BRANCH_ADMIN은 자기 지점 강사·프로그램만 CRUD한다. (CLAUDE.md 4대 불변식 — 지점 데이터 격리)</t>
        </is>
      </c>
      <c r="E124" s="10" t="inlineStr">
        <is>
          <t>구현</t>
        </is>
      </c>
      <c r="F124" s="9" t="inlineStr">
        <is>
          <t>-</t>
        </is>
      </c>
      <c r="G124" s="9" t="inlineStr">
        <is>
          <t>program-integrity·catalog-flow·list-filters·branch-isolation spec</t>
        </is>
      </c>
    </row>
    <row r="125">
      <c r="A125" s="9" t="inlineStr">
        <is>
          <t>PRG-INV-02</t>
        </is>
      </c>
      <c r="B125" s="9" t="inlineStr">
        <is>
          <t>강사프로그램게시</t>
        </is>
      </c>
      <c r="C125" s="9" t="inlineStr">
        <is>
          <t>불변규칙</t>
        </is>
      </c>
      <c r="D125" s="9" t="inlineStr">
        <is>
          <t>§3-2 표에 없는 프로그램 상태 전이는 성립하지 않는다. (예: ENDED에서 되돌아가는 전이는 없음 — 생애주기의 종결이라는 의미 자체가 깨짐)</t>
        </is>
      </c>
      <c r="E125" s="10" t="inlineStr">
        <is>
          <t>구현</t>
        </is>
      </c>
      <c r="F125" s="9" t="inlineStr">
        <is>
          <t>-</t>
        </is>
      </c>
      <c r="G125" s="9" t="inlineStr">
        <is>
          <t>program-integrity·catalog-flow·list-filters·branch-isolation spec</t>
        </is>
      </c>
    </row>
    <row r="126">
      <c r="A126" s="9" t="inlineStr">
        <is>
          <t>PRG-FN-01</t>
        </is>
      </c>
      <c r="B126" s="9" t="inlineStr">
        <is>
          <t>강사프로그램게시</t>
        </is>
      </c>
      <c r="C126" s="9" t="inlineStr">
        <is>
          <t>기능</t>
        </is>
      </c>
      <c r="D126" s="9" t="inlineStr">
        <is>
          <t>프로그램 목록</t>
        </is>
      </c>
      <c r="E126" s="10" t="inlineStr">
        <is>
          <t>구현</t>
        </is>
      </c>
      <c r="F126" s="9" t="inlineStr">
        <is>
          <t>있음</t>
        </is>
      </c>
      <c r="G126" s="9" t="inlineStr">
        <is>
          <t>GET /programs</t>
        </is>
      </c>
    </row>
    <row r="127">
      <c r="A127" s="9" t="inlineStr">
        <is>
          <t>PRG-FN-02</t>
        </is>
      </c>
      <c r="B127" s="9" t="inlineStr">
        <is>
          <t>강사프로그램게시</t>
        </is>
      </c>
      <c r="C127" s="9" t="inlineStr">
        <is>
          <t>기능</t>
        </is>
      </c>
      <c r="D127" s="9" t="inlineStr">
        <is>
          <t>프로그램 등록</t>
        </is>
      </c>
      <c r="E127" s="10" t="inlineStr">
        <is>
          <t>구현</t>
        </is>
      </c>
      <c r="F127" s="9" t="inlineStr">
        <is>
          <t>있음</t>
        </is>
      </c>
      <c r="G127" s="9" t="inlineStr">
        <is>
          <t>POST /programs</t>
        </is>
      </c>
    </row>
    <row r="128">
      <c r="A128" s="9" t="inlineStr">
        <is>
          <t>PRG-FN-03</t>
        </is>
      </c>
      <c r="B128" s="9" t="inlineStr">
        <is>
          <t>강사프로그램게시</t>
        </is>
      </c>
      <c r="C128" s="9" t="inlineStr">
        <is>
          <t>기능</t>
        </is>
      </c>
      <c r="D128" s="9" t="inlineStr">
        <is>
          <t>프로그램 종료(소프트)</t>
        </is>
      </c>
      <c r="E128" s="10" t="inlineStr">
        <is>
          <t>구현</t>
        </is>
      </c>
      <c r="F128" s="9" t="inlineStr">
        <is>
          <t>있음</t>
        </is>
      </c>
      <c r="G128" s="9" t="inlineStr">
        <is>
          <t>DELETE /programs/:id</t>
        </is>
      </c>
    </row>
    <row r="129">
      <c r="A129" s="9" t="inlineStr">
        <is>
          <t>PRG-FN-04</t>
        </is>
      </c>
      <c r="B129" s="9" t="inlineStr">
        <is>
          <t>강사프로그램게시</t>
        </is>
      </c>
      <c r="C129" s="9" t="inlineStr">
        <is>
          <t>기능</t>
        </is>
      </c>
      <c r="D129" s="9" t="inlineStr">
        <is>
          <t>프로그램 수정</t>
        </is>
      </c>
      <c r="E129" s="10" t="inlineStr">
        <is>
          <t>구현</t>
        </is>
      </c>
      <c r="F129" s="9" t="inlineStr">
        <is>
          <t>있음</t>
        </is>
      </c>
      <c r="G129" s="9" t="inlineStr">
        <is>
          <t>PATCH /programs/:id</t>
        </is>
      </c>
    </row>
    <row r="130">
      <c r="A130" s="9" t="inlineStr">
        <is>
          <t>PRG-FN-05</t>
        </is>
      </c>
      <c r="B130" s="9" t="inlineStr">
        <is>
          <t>강사프로그램게시</t>
        </is>
      </c>
      <c r="C130" s="9" t="inlineStr">
        <is>
          <t>기능</t>
        </is>
      </c>
      <c r="D130" s="9" t="inlineStr">
        <is>
          <t>회차 목록·잔여 좌석</t>
        </is>
      </c>
      <c r="E130" s="10" t="inlineStr">
        <is>
          <t>구현</t>
        </is>
      </c>
      <c r="F130" s="9" t="inlineStr">
        <is>
          <t>있음</t>
        </is>
      </c>
      <c r="G130" s="9" t="inlineStr">
        <is>
          <t>GET /programs/:id/slots</t>
        </is>
      </c>
    </row>
    <row r="131">
      <c r="A131" s="9" t="inlineStr">
        <is>
          <t>PRG-FN-06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회차 등록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POST /programs/:id/slots</t>
        </is>
      </c>
    </row>
    <row r="132">
      <c r="A132" s="9" t="inlineStr">
        <is>
          <t>PRG-FN-07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상태 전이(준비중·진행중·휴강·종료) — 영향받는 예약 반환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PATCH /programs/:id/status</t>
        </is>
      </c>
    </row>
    <row r="133">
      <c r="A133" s="9" t="inlineStr">
        <is>
          <t>PRG-FN-08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강사 목록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GET /instructors</t>
        </is>
      </c>
    </row>
    <row r="134">
      <c r="A134" s="9" t="inlineStr">
        <is>
          <t>PRG-FN-09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강사 등록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POST /instructors</t>
        </is>
      </c>
    </row>
    <row r="135">
      <c r="A135" s="9" t="inlineStr">
        <is>
          <t>PRG-FN-10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강사 비활성화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DELETE /instructors/:id</t>
        </is>
      </c>
    </row>
    <row r="136">
      <c r="A136" s="9" t="inlineStr">
        <is>
          <t>PRG-FN-11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강사 수정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PATCH /instructors/:id</t>
        </is>
      </c>
    </row>
    <row r="137">
      <c r="A137" s="9" t="inlineStr">
        <is>
          <t>PRG-FN-12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지점별 프로그램 상태 요약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GET /branches/:branchId/programs/summary</t>
        </is>
      </c>
    </row>
    <row r="138">
      <c r="A138" s="4" t="inlineStr">
        <is>
          <t>F08a</t>
        </is>
      </c>
      <c r="B138" s="4" t="inlineStr">
        <is>
          <t>혼잡도관리</t>
        </is>
      </c>
      <c r="C138" s="4" t="inlineStr">
        <is>
          <t>원문 기능</t>
        </is>
      </c>
      <c r="D138" s="4" t="inlineStr">
        <is>
          <t>시설별 이용현황·혼잡도를 5개 항목으로 나눠 게시</t>
        </is>
      </c>
      <c r="E138" s="4" t="inlineStr">
        <is>
          <t>-</t>
        </is>
      </c>
      <c r="F138" s="4" t="inlineStr">
        <is>
          <t>-</t>
        </is>
      </c>
      <c r="G138" s="4" t="inlineStr"/>
    </row>
    <row r="139">
      <c r="A139" s="4" t="inlineStr">
        <is>
          <t>F08b</t>
        </is>
      </c>
      <c r="B139" s="4" t="inlineStr">
        <is>
          <t>혼잡도관리</t>
        </is>
      </c>
      <c r="C139" s="4" t="inlineStr">
        <is>
          <t>원문 기능</t>
        </is>
      </c>
      <c r="D139" s="4" t="inlineStr">
        <is>
          <t>실시간 혹은 최대 30분 이내 이용현황 반영</t>
        </is>
      </c>
      <c r="E139" s="4" t="inlineStr">
        <is>
          <t>-</t>
        </is>
      </c>
      <c r="F139" s="4" t="inlineStr">
        <is>
          <t>-</t>
        </is>
      </c>
      <c r="G139" s="4" t="inlineStr"/>
    </row>
    <row r="140">
      <c r="A140" s="4" t="inlineStr">
        <is>
          <t>FAC-C03</t>
        </is>
      </c>
      <c r="B140" s="4" t="inlineStr">
        <is>
          <t>혼잡도관리</t>
        </is>
      </c>
      <c r="C140" s="4" t="inlineStr">
        <is>
          <t>원문 제약</t>
        </is>
      </c>
      <c r="D140" s="4" t="inlineStr">
        <is>
          <t>하드웨어(IoT 센서·CCTV) 기반 계측 불가 — §0이 이미 명시.</t>
        </is>
      </c>
      <c r="E140" s="4" t="inlineStr">
        <is>
          <t>-</t>
        </is>
      </c>
      <c r="F140" s="4" t="inlineStr">
        <is>
          <t>-</t>
        </is>
      </c>
      <c r="G140" s="4" t="inlineStr"/>
    </row>
    <row r="141">
      <c r="A141" s="4" t="inlineStr">
        <is>
          <t>FAC-C04</t>
        </is>
      </c>
      <c r="B141" s="4" t="inlineStr">
        <is>
          <t>혼잡도관리</t>
        </is>
      </c>
      <c r="C141" s="4" t="inlineStr">
        <is>
          <t>원문 제약</t>
        </is>
      </c>
      <c r="D141" s="4" t="inlineStr">
        <is>
          <t>스케줄러 인프라 없음(Phase 2 QR·자동계산이 이 제약으로 범위 제외됨).</t>
        </is>
      </c>
      <c r="E141" s="4" t="inlineStr">
        <is>
          <t>-</t>
        </is>
      </c>
      <c r="F141" s="4" t="inlineStr">
        <is>
          <t>-</t>
        </is>
      </c>
      <c r="G141" s="4" t="inlineStr"/>
    </row>
    <row r="142">
      <c r="A142" s="4" t="inlineStr">
        <is>
          <t>FAC-INV-01</t>
        </is>
      </c>
      <c r="B142" s="4" t="inlineStr">
        <is>
          <t>혼잡도관리</t>
        </is>
      </c>
      <c r="C142" s="4" t="inlineStr">
        <is>
          <t>불변규칙</t>
        </is>
      </c>
      <c r="D142" s="4" t="inlineStr">
        <is>
          <t>BRANCH_ADMIN은 자기 지점 시설만 관리한다. (CLAUDE.md 4대 불변식 — 지점 데이터 격리)</t>
        </is>
      </c>
      <c r="E142" s="10" t="inlineStr">
        <is>
          <t>구현</t>
        </is>
      </c>
      <c r="F142" s="4" t="inlineStr">
        <is>
          <t>-</t>
        </is>
      </c>
      <c r="G142" s="4" t="inlineStr">
        <is>
          <t>facility-lifecycle·catalog-flow·contract-termination·branch-isolation spec</t>
        </is>
      </c>
    </row>
    <row r="143">
      <c r="A143" s="4" t="inlineStr">
        <is>
          <t>FAC-INV-02</t>
        </is>
      </c>
      <c r="B143" s="4" t="inlineStr">
        <is>
          <t>혼잡도관리</t>
        </is>
      </c>
      <c r="C143" s="4" t="inlineStr">
        <is>
          <t>불변규칙</t>
        </is>
      </c>
      <c r="D143" s="4" t="inlineStr">
        <is>
          <t>정원(capacity)은 0이 될 수 없다. (0으로 나누면 계산 자체가 성립하지 않음 — 협의 대상이 아니라 수학적 제약)</t>
        </is>
      </c>
      <c r="E143" s="10" t="inlineStr">
        <is>
          <t>구현</t>
        </is>
      </c>
      <c r="F143" s="4" t="inlineStr">
        <is>
          <t>-</t>
        </is>
      </c>
      <c r="G143" s="4" t="inlineStr">
        <is>
          <t>facility-lifecycle·catalog-flow·contract-termination·branch-isolation spec</t>
        </is>
      </c>
    </row>
    <row r="144">
      <c r="A144" s="4" t="inlineStr">
        <is>
          <t>FAC-FN-01</t>
        </is>
      </c>
      <c r="B144" s="4" t="inlineStr">
        <is>
          <t>혼잡도관리</t>
        </is>
      </c>
      <c r="C144" s="4" t="inlineStr">
        <is>
          <t>기능</t>
        </is>
      </c>
      <c r="D144" s="4" t="inlineStr">
        <is>
          <t>시설 목록 + 현재 혼잡도</t>
        </is>
      </c>
      <c r="E144" s="10" t="inlineStr">
        <is>
          <t>구현</t>
        </is>
      </c>
      <c r="F144" s="4" t="inlineStr">
        <is>
          <t>있음</t>
        </is>
      </c>
      <c r="G144" s="4" t="inlineStr">
        <is>
          <t>GET /facilities</t>
        </is>
      </c>
    </row>
    <row r="145">
      <c r="A145" s="4" t="inlineStr">
        <is>
          <t>FAC-FN-02</t>
        </is>
      </c>
      <c r="B145" s="4" t="inlineStr">
        <is>
          <t>혼잡도관리</t>
        </is>
      </c>
      <c r="C145" s="4" t="inlineStr">
        <is>
          <t>기능</t>
        </is>
      </c>
      <c r="D145" s="4" t="inlineStr">
        <is>
          <t>시설 등록</t>
        </is>
      </c>
      <c r="E145" s="10" t="inlineStr">
        <is>
          <t>구현</t>
        </is>
      </c>
      <c r="F145" s="4" t="inlineStr">
        <is>
          <t>있음</t>
        </is>
      </c>
      <c r="G145" s="4" t="inlineStr">
        <is>
          <t>POST /facilities</t>
        </is>
      </c>
    </row>
    <row r="146">
      <c r="A146" s="4" t="inlineStr">
        <is>
          <t>FAC-FN-03</t>
        </is>
      </c>
      <c r="B146" s="4" t="inlineStr">
        <is>
          <t>혼잡도관리</t>
        </is>
      </c>
      <c r="C146" s="4" t="inlineStr">
        <is>
          <t>기능</t>
        </is>
      </c>
      <c r="D146" s="4" t="inlineStr">
        <is>
          <t>시설 수정·비활성화</t>
        </is>
      </c>
      <c r="E146" s="10" t="inlineStr">
        <is>
          <t>구현</t>
        </is>
      </c>
      <c r="F146" s="4" t="inlineStr">
        <is>
          <t>있음</t>
        </is>
      </c>
      <c r="G146" s="4" t="inlineStr">
        <is>
          <t>PATCH /facilities/:id</t>
        </is>
      </c>
    </row>
    <row r="147">
      <c r="A147" s="4" t="inlineStr">
        <is>
          <t>FAC-FN-04</t>
        </is>
      </c>
      <c r="B147" s="4" t="inlineStr">
        <is>
          <t>혼잡도관리</t>
        </is>
      </c>
      <c r="C147" s="4" t="inlineStr">
        <is>
          <t>기능</t>
        </is>
      </c>
      <c r="D147" s="4" t="inlineStr">
        <is>
          <t>혼잡도 수동 보정(인원 입력 → 5단계 자동 계산)</t>
        </is>
      </c>
      <c r="E147" s="10" t="inlineStr">
        <is>
          <t>구현</t>
        </is>
      </c>
      <c r="F147" s="4" t="inlineStr">
        <is>
          <t>있음</t>
        </is>
      </c>
      <c r="G147" s="4" t="inlineStr">
        <is>
          <t>POST /facilities/:id/congestion/manual</t>
        </is>
      </c>
    </row>
    <row r="148">
      <c r="A148" s="9" t="inlineStr">
        <is>
          <t>F10a</t>
        </is>
      </c>
      <c r="B148" s="9" t="inlineStr">
        <is>
          <t>자원문서관리</t>
        </is>
      </c>
      <c r="C148" s="9" t="inlineStr">
        <is>
          <t>원문 기능</t>
        </is>
      </c>
      <c r="D148" s="9" t="inlineStr">
        <is>
          <t>지점별 자산(운동기구·안전설비·비품)을 등록·조회·상태 관리</t>
        </is>
      </c>
      <c r="E148" s="9" t="inlineStr">
        <is>
          <t>-</t>
        </is>
      </c>
      <c r="F148" s="9" t="inlineStr">
        <is>
          <t>-</t>
        </is>
      </c>
      <c r="G148" s="9" t="inlineStr"/>
    </row>
    <row r="149">
      <c r="A149" s="9" t="inlineStr">
        <is>
          <t>F10b</t>
        </is>
      </c>
      <c r="B149" s="9" t="inlineStr">
        <is>
          <t>자원문서관리</t>
        </is>
      </c>
      <c r="C149" s="9" t="inlineStr">
        <is>
          <t>원문 기능</t>
        </is>
      </c>
      <c r="D149" s="9" t="inlineStr">
        <is>
          <t>자산 취득가액 기준 고정자산/소모품 자동 판정(100만원 초과 기준)</t>
        </is>
      </c>
      <c r="E149" s="9" t="inlineStr">
        <is>
          <t>-</t>
        </is>
      </c>
      <c r="F149" s="9" t="inlineStr">
        <is>
          <t>-</t>
        </is>
      </c>
      <c r="G149" s="9" t="inlineStr"/>
    </row>
    <row r="150">
      <c r="A150" s="9" t="inlineStr">
        <is>
          <t>F10c</t>
        </is>
      </c>
      <c r="B150" s="9" t="inlineStr">
        <is>
          <t>자원문서관리</t>
        </is>
      </c>
      <c r="C150" s="9" t="inlineStr">
        <is>
          <t>원문 기능</t>
        </is>
      </c>
      <c r="D150" s="9" t="inlineStr">
        <is>
          <t>계약서·인사서류 등 문서를 지점(또는 전사)에 연결해 보관, 카테고리별 보존기한 관리</t>
        </is>
      </c>
      <c r="E150" s="9" t="inlineStr">
        <is>
          <t>-</t>
        </is>
      </c>
      <c r="F150" s="9" t="inlineStr">
        <is>
          <t>-</t>
        </is>
      </c>
      <c r="G150" s="9" t="inlineStr"/>
    </row>
    <row r="151">
      <c r="A151" s="9" t="inlineStr">
        <is>
          <t>F10d</t>
        </is>
      </c>
      <c r="B151" s="9" t="inlineStr">
        <is>
          <t>자원문서관리</t>
        </is>
      </c>
      <c r="C151" s="9" t="inlineStr">
        <is>
          <t>원문 기능</t>
        </is>
      </c>
      <c r="D151" s="9" t="inlineStr">
        <is>
          <t>보존기한 임박 문서 목록</t>
        </is>
      </c>
      <c r="E151" s="9" t="inlineStr">
        <is>
          <t>-</t>
        </is>
      </c>
      <c r="F151" s="9" t="inlineStr">
        <is>
          <t>-</t>
        </is>
      </c>
      <c r="G151" s="9" t="inlineStr"/>
    </row>
    <row r="152">
      <c r="A152" s="9" t="inlineStr">
        <is>
          <t>RES-C05</t>
        </is>
      </c>
      <c r="B152" s="9" t="inlineStr">
        <is>
          <t>자원문서관리</t>
        </is>
      </c>
      <c r="C152" s="9" t="inlineStr">
        <is>
          <t>원문 제약</t>
        </is>
      </c>
      <c r="D152" s="9" t="inlineStr">
        <is>
          <t>실제 파일 업로드 인프라(스토리지·용량 제한·바이러스 검사) 없음 — fileUrl은 문자열만 받는다(부록 A-1, §7이 이미 범위 제외).</t>
        </is>
      </c>
      <c r="E152" s="9" t="inlineStr">
        <is>
          <t>-</t>
        </is>
      </c>
      <c r="F152" s="9" t="inlineStr">
        <is>
          <t>-</t>
        </is>
      </c>
      <c r="G152" s="9" t="inlineStr"/>
    </row>
    <row r="153">
      <c r="A153" s="9" t="inlineStr">
        <is>
          <t>RES-C06</t>
        </is>
      </c>
      <c r="B153" s="9" t="inlineStr">
        <is>
          <t>자원문서관리</t>
        </is>
      </c>
      <c r="C153" s="9" t="inlineStr">
        <is>
          <t>원문 제약</t>
        </is>
      </c>
      <c r="D153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RES-INV-01</t>
        </is>
      </c>
      <c r="B154" s="9" t="inlineStr">
        <is>
          <t>자원문서관리</t>
        </is>
      </c>
      <c r="C154" s="9" t="inlineStr">
        <is>
          <t>불변규칙</t>
        </is>
      </c>
      <c r="D154" s="9" t="inlineStr">
        <is>
          <t>BRANCH_ADMIN은 자기 지점 자산·문서만 CRUD한다. (CLAUDE.md 4대 불변식 — 지점 데이터 격리)</t>
        </is>
      </c>
      <c r="E154" s="10" t="inlineStr">
        <is>
          <t>구현</t>
        </is>
      </c>
      <c r="F154" s="9" t="inlineStr">
        <is>
          <t>-</t>
        </is>
      </c>
      <c r="G154" s="9" t="inlineStr">
        <is>
          <t>asset-rules(동시 채번·자동 판정·수량·전이 경합)·document-rules·document-retention·contract-termination·branch-isolation spec</t>
        </is>
      </c>
    </row>
    <row r="155">
      <c r="A155" s="9" t="inlineStr">
        <is>
          <t>RES-INV-02</t>
        </is>
      </c>
      <c r="B155" s="9" t="inlineStr">
        <is>
          <t>자원문서관리</t>
        </is>
      </c>
      <c r="C155" s="9" t="inlineStr">
        <is>
          <t>불변규칙</t>
        </is>
      </c>
      <c r="D155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55" s="10" t="inlineStr">
        <is>
          <t>구현</t>
        </is>
      </c>
      <c r="F155" s="9" t="inlineStr">
        <is>
          <t>-</t>
        </is>
      </c>
      <c r="G155" s="9" t="inlineStr">
        <is>
          <t>asset-rules(동시 채번·자동 판정·수량·전이 경합)·document-rules·document-retention·contract-termination·branch-isolation spec</t>
        </is>
      </c>
    </row>
    <row r="156">
      <c r="A156" s="9" t="inlineStr">
        <is>
          <t>RES-INV-03</t>
        </is>
      </c>
      <c r="B156" s="9" t="inlineStr">
        <is>
          <t>자원문서관리</t>
        </is>
      </c>
      <c r="C156" s="9" t="inlineStr">
        <is>
          <t>불변규칙</t>
        </is>
      </c>
      <c r="D156" s="9" t="inlineStr">
        <is>
          <t>문서 삭제는 SUPER_ADMIN 전용이다. (계약서·인사서류는 법적 증빙 성격이라 지점 관리자가 임의로 지울 수 없어야 함 — 부록 A-7)</t>
        </is>
      </c>
      <c r="E156" s="10" t="inlineStr">
        <is>
          <t>구현</t>
        </is>
      </c>
      <c r="F156" s="9" t="inlineStr">
        <is>
          <t>-</t>
        </is>
      </c>
      <c r="G156" s="9" t="inlineStr">
        <is>
          <t>asset-rules(동시 채번·자동 판정·수량·전이 경합)·document-rules·document-retention·contract-termination·branch-isolation spec</t>
        </is>
      </c>
    </row>
    <row r="157">
      <c r="A157" s="9" t="inlineStr">
        <is>
          <t>RES-INV-04</t>
        </is>
      </c>
      <c r="B157" s="9" t="inlineStr">
        <is>
          <t>자원문서관리</t>
        </is>
      </c>
      <c r="C157" s="9" t="inlineStr">
        <is>
          <t>불변규칙</t>
        </is>
      </c>
      <c r="D157" s="9" t="inlineStr">
        <is>
          <t>문서는 소프트 삭제(D9)를 따른다. (계약·인사 분쟁 시 감사 목적 복구 가능성 — 부록 A-6)</t>
        </is>
      </c>
      <c r="E157" s="10" t="inlineStr">
        <is>
          <t>구현</t>
        </is>
      </c>
      <c r="F157" s="9" t="inlineStr">
        <is>
          <t>-</t>
        </is>
      </c>
      <c r="G157" s="9" t="inlineStr">
        <is>
          <t>asset-rules(동시 채번·자동 판정·수량·전이 경합)·document-rules·document-retention·contract-termination·branch-isolation spec</t>
        </is>
      </c>
    </row>
    <row r="158">
      <c r="A158" s="9" t="inlineStr">
        <is>
          <t>RES-FN-01</t>
        </is>
      </c>
      <c r="B158" s="9" t="inlineStr">
        <is>
          <t>자원문서관리</t>
        </is>
      </c>
      <c r="C158" s="9" t="inlineStr">
        <is>
          <t>기능</t>
        </is>
      </c>
      <c r="D158" s="9" t="inlineStr">
        <is>
          <t>자산·비품 목록(페이지네이션 D43)</t>
        </is>
      </c>
      <c r="E158" s="10" t="inlineStr">
        <is>
          <t>구현</t>
        </is>
      </c>
      <c r="F158" s="9" t="inlineStr">
        <is>
          <t>있음</t>
        </is>
      </c>
      <c r="G158" s="9" t="inlineStr">
        <is>
          <t>GET /assets</t>
        </is>
      </c>
    </row>
    <row r="159">
      <c r="A159" s="9" t="inlineStr">
        <is>
          <t>RES-FN-02</t>
        </is>
      </c>
      <c r="B159" s="9" t="inlineStr">
        <is>
          <t>자원문서관리</t>
        </is>
      </c>
      <c r="C159" s="9" t="inlineStr">
        <is>
          <t>기능</t>
        </is>
      </c>
      <c r="D159" s="9" t="inlineStr">
        <is>
          <t>자산 등록 — 자산코드 자동 채번, 계약 종료 지점 차단</t>
        </is>
      </c>
      <c r="E159" s="10" t="inlineStr">
        <is>
          <t>구현</t>
        </is>
      </c>
      <c r="F159" s="9" t="inlineStr">
        <is>
          <t>있음</t>
        </is>
      </c>
      <c r="G159" s="9" t="inlineStr">
        <is>
          <t>POST /assets</t>
        </is>
      </c>
    </row>
    <row r="160">
      <c r="A160" s="9" t="inlineStr">
        <is>
          <t>RES-FN-03</t>
        </is>
      </c>
      <c r="B160" s="9" t="inlineStr">
        <is>
          <t>자원문서관리</t>
        </is>
      </c>
      <c r="C160" s="9" t="inlineStr">
        <is>
          <t>기능</t>
        </is>
      </c>
      <c r="D160" s="9" t="inlineStr">
        <is>
          <t>자산 정보 수정</t>
        </is>
      </c>
      <c r="E160" s="10" t="inlineStr">
        <is>
          <t>구현</t>
        </is>
      </c>
      <c r="F160" s="9" t="inlineStr">
        <is>
          <t>있음</t>
        </is>
      </c>
      <c r="G160" s="9" t="inlineStr">
        <is>
          <t>PATCH /assets/:id</t>
        </is>
      </c>
    </row>
    <row r="161">
      <c r="A161" s="9" t="inlineStr">
        <is>
          <t>RES-FN-04</t>
        </is>
      </c>
      <c r="B161" s="9" t="inlineStr">
        <is>
          <t>자원문서관리</t>
        </is>
      </c>
      <c r="C161" s="9" t="inlineStr">
        <is>
          <t>기능</t>
        </is>
      </c>
      <c r="D161" s="9" t="inlineStr">
        <is>
          <t>자산 상태 전이(사용·수리·폐기 등)</t>
        </is>
      </c>
      <c r="E161" s="10" t="inlineStr">
        <is>
          <t>구현</t>
        </is>
      </c>
      <c r="F161" s="9" t="inlineStr">
        <is>
          <t>있음</t>
        </is>
      </c>
      <c r="G161" s="9" t="inlineStr">
        <is>
          <t>PATCH /assets/:id/status</t>
        </is>
      </c>
    </row>
    <row r="162">
      <c r="A162" s="9" t="inlineStr">
        <is>
          <t>RES-FN-05</t>
        </is>
      </c>
      <c r="B162" s="9" t="inlineStr">
        <is>
          <t>자원문서관리</t>
        </is>
      </c>
      <c r="C162" s="9" t="inlineStr">
        <is>
          <t>기능</t>
        </is>
      </c>
      <c r="D162" s="9" t="inlineStr">
        <is>
          <t>문서 목록</t>
        </is>
      </c>
      <c r="E162" s="10" t="inlineStr">
        <is>
          <t>구현</t>
        </is>
      </c>
      <c r="F162" s="9" t="inlineStr">
        <is>
          <t>있음</t>
        </is>
      </c>
      <c r="G162" s="9" t="inlineStr">
        <is>
          <t>GET /documents</t>
        </is>
      </c>
    </row>
    <row r="163">
      <c r="A163" s="9" t="inlineStr">
        <is>
          <t>RES-FN-06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문서 등록 — 계약서 보존기한 필수, 계약 종료 지점 차단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POST /documents</t>
        </is>
      </c>
    </row>
    <row r="164">
      <c r="A164" s="9" t="inlineStr">
        <is>
          <t>RES-FN-07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문서 삭제(소프트, 본사)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DELETE /documents/:id</t>
        </is>
      </c>
    </row>
    <row r="165">
      <c r="A165" s="9" t="inlineStr">
        <is>
          <t>RES-FN-08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문서 상세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GET /documents/:id</t>
        </is>
      </c>
    </row>
    <row r="166">
      <c r="A166" s="9" t="inlineStr">
        <is>
          <t>RES-FN-09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보존기한 임박 문서(본사)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GET /documents/retention-alerts</t>
        </is>
      </c>
    </row>
    <row r="167">
      <c r="A167" s="4" t="inlineStr">
        <is>
          <t>COM-FN-01</t>
        </is>
      </c>
      <c r="B167" s="4" t="inlineStr">
        <is>
          <t>공통</t>
        </is>
      </c>
      <c r="C167" s="4" t="inlineStr">
        <is>
          <t>기능</t>
        </is>
      </c>
      <c r="D167" s="4" t="inlineStr">
        <is>
          <t>헬스체크(DB 미경유)</t>
        </is>
      </c>
      <c r="E167" s="10" t="inlineStr">
        <is>
          <t>구현</t>
        </is>
      </c>
      <c r="F167" s="4" t="inlineStr">
        <is>
          <t>불필요</t>
        </is>
      </c>
      <c r="G167" s="4" t="inlineStr">
        <is>
          <t>GET /health</t>
        </is>
      </c>
    </row>
    <row r="168">
      <c r="A168" s="4" t="inlineStr">
        <is>
          <t>COM-FN-02</t>
        </is>
      </c>
      <c r="B168" s="4" t="inlineStr">
        <is>
          <t>공통</t>
        </is>
      </c>
      <c r="C168" s="4" t="inlineStr">
        <is>
          <t>기능</t>
        </is>
      </c>
      <c r="D168" s="4" t="inlineStr">
        <is>
          <t>변경 이력 조회(본사) — 역할 전환·퇴사·파견 발령·파견 종료·전화번호 열람(D44·D47)</t>
        </is>
      </c>
      <c r="E168" s="10" t="inlineStr">
        <is>
          <t>구현</t>
        </is>
      </c>
      <c r="F168" s="4" t="inlineStr">
        <is>
          <t>있음</t>
        </is>
      </c>
      <c r="G168" s="4" t="inlineStr">
        <is>
          <t>GET /audit-logs</t>
        </is>
      </c>
    </row>
    <row r="169">
      <c r="A169" s="4" t="inlineStr">
        <is>
          <t>COM-FN-03</t>
        </is>
      </c>
      <c r="B169" s="4" t="inlineStr">
        <is>
          <t>공통</t>
        </is>
      </c>
      <c r="C169" s="4" t="inlineStr">
        <is>
          <t>기능</t>
        </is>
      </c>
      <c r="D169" s="4" t="inlineStr">
        <is>
          <t>공개 지점 목록(이름·지역만, 계약 종료 지점 제외) — 회원 웹 가입용(ADR-MEM-05)</t>
        </is>
      </c>
      <c r="E169" s="10" t="inlineStr">
        <is>
          <t>구현</t>
        </is>
      </c>
      <c r="F169" s="4" t="inlineStr">
        <is>
          <t>있음</t>
        </is>
      </c>
      <c r="G169" s="4" t="inlineStr">
        <is>
          <t>GET /branches/public</t>
        </is>
      </c>
    </row>
    <row r="170">
      <c r="A170" s="4" t="inlineStr">
        <is>
          <t>COM-FN-04</t>
        </is>
      </c>
      <c r="B170" s="4" t="inlineStr">
        <is>
          <t>공통</t>
        </is>
      </c>
      <c r="C170" s="4" t="inlineStr">
        <is>
          <t>기능</t>
        </is>
      </c>
      <c r="D170" s="4" t="inlineStr">
        <is>
          <t>지점 목록(계약 정보 포함)</t>
        </is>
      </c>
      <c r="E170" s="10" t="inlineStr">
        <is>
          <t>구현</t>
        </is>
      </c>
      <c r="F170" s="4" t="inlineStr">
        <is>
          <t>있음</t>
        </is>
      </c>
      <c r="G170" s="4" t="inlineStr">
        <is>
          <t>GET /branches</t>
        </is>
      </c>
    </row>
    <row r="171">
      <c r="A171" s="4" t="inlineStr">
        <is>
          <t>COM-FN-05</t>
        </is>
      </c>
      <c r="B171" s="4" t="inlineStr">
        <is>
          <t>공통</t>
        </is>
      </c>
      <c r="C171" s="4" t="inlineStr">
        <is>
          <t>기능</t>
        </is>
      </c>
      <c r="D171" s="4" t="inlineStr">
        <is>
          <t>계약 상태 변경(본사) — TERMINATED 전이 시 진행 중 파견 종료·재배치 대기 반환(ADR-STF-07)</t>
        </is>
      </c>
      <c r="E171" s="10" t="inlineStr">
        <is>
          <t>구현</t>
        </is>
      </c>
      <c r="F171" s="4" t="inlineStr">
        <is>
          <t>있음</t>
        </is>
      </c>
      <c r="G171" s="4" t="inlineStr">
        <is>
          <t>PATCH /branches/:branchId/contract-status</t>
        </is>
      </c>
    </row>
    <row r="172">
      <c r="A172" s="4" t="inlineStr">
        <is>
          <t>COM-FN-06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지점 운영 실적 — 최근 3개월 매출·예약·완료·신규 회원(KST 월 기준)</t>
        </is>
      </c>
      <c r="E172" s="10" t="inlineStr">
        <is>
          <t>구현</t>
        </is>
      </c>
      <c r="F172" s="4" t="inlineStr">
        <is>
          <t>있음</t>
        </is>
      </c>
      <c r="G172" s="4" t="inlineStr">
        <is>
          <t>GET /branches/:branchId/performance</t>
        </is>
      </c>
    </row>
    <row r="173">
      <c r="A173" s="4" t="inlineStr">
        <is>
          <t>COM-FN-07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업무지원 요청 등록(지점 관리자 → 본사, D56)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POST /support-requests</t>
        </is>
      </c>
    </row>
    <row r="174">
      <c r="A174" s="4" t="inlineStr">
        <is>
          <t>COM-FN-08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업무지원 요청 목록(지점은 자기 지점, 본사는 전체)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/support-requests</t>
        </is>
      </c>
    </row>
    <row r="175">
      <c r="A175" s="4" t="inlineStr">
        <is>
          <t>COM-FN-09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업무지원 요청 상세</t>
        </is>
      </c>
      <c r="E175" s="10" t="inlineStr">
        <is>
          <t>구현</t>
        </is>
      </c>
      <c r="F175" s="4" t="inlineStr">
        <is>
          <t>없음</t>
        </is>
      </c>
      <c r="G175" s="4" t="inlineStr">
        <is>
          <t>GET /support-requests/:id</t>
        </is>
      </c>
    </row>
    <row r="176">
      <c r="A176" s="4" t="inlineStr">
        <is>
          <t>COM-FN-10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업무지원 요청 처리 상태 변경(본사)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/support-requests/:id/status</t>
        </is>
      </c>
    </row>
    <row r="177">
      <c r="A177" s="9" t="inlineStr">
        <is>
          <t>GAP-01</t>
        </is>
      </c>
      <c r="B177" s="9" t="inlineStr">
        <is>
          <t>RFP 공통</t>
        </is>
      </c>
      <c r="C177" s="9" t="inlineStr">
        <is>
          <t>미구현</t>
        </is>
      </c>
      <c r="D177" s="9" t="inlineStr">
        <is>
          <t>사용자별·프로그램별 세부 권한(입력·수정·삭제·조회·출력), 개인별·기능별 접근 통제 — 부분 — 역할 4개 + 지점 격리로 조정(D1). 출력은 회원·근태 요약·결제 CSV를 역할 기준으로만(D54), 인쇄용 화면 없음</t>
        </is>
      </c>
      <c r="E177" s="11" t="inlineStr">
        <is>
          <t>부분</t>
        </is>
      </c>
      <c r="F177" s="9" t="inlineStr">
        <is>
          <t>-</t>
        </is>
      </c>
      <c r="G177" s="9" t="inlineStr">
        <is>
          <t>권한관리(1-1 #1)·UI 보안(1-2 #7)</t>
        </is>
      </c>
    </row>
    <row r="178">
      <c r="A178" s="9" t="inlineStr">
        <is>
          <t>GAP-02</t>
        </is>
      </c>
      <c r="B178" s="9" t="inlineStr">
        <is>
          <t>RFP 공통</t>
        </is>
      </c>
      <c r="C178" s="9" t="inlineStr">
        <is>
          <t>미구현</t>
        </is>
      </c>
      <c r="D178" s="9" t="inlineStr">
        <is>
          <t>메모리 평균 85% 이하 유지 — 부분 — 경보 절차는 작성(aws-lambda/README §6). AWS 콘솔 적용은 사용자 작업 — 아직 없음</t>
        </is>
      </c>
      <c r="E178" s="11" t="inlineStr">
        <is>
          <t>부분</t>
        </is>
      </c>
      <c r="F178" s="9" t="inlineStr">
        <is>
          <t>-</t>
        </is>
      </c>
      <c r="G178" s="9" t="inlineStr">
        <is>
          <t>시스템가용성(1-1 #10)</t>
        </is>
      </c>
    </row>
    <row r="179">
      <c r="A179" s="9" t="inlineStr">
        <is>
          <t>GAP-03</t>
        </is>
      </c>
      <c r="B179" s="9" t="inlineStr">
        <is>
          <t>RFP 공통</t>
        </is>
      </c>
      <c r="C179" s="9" t="inlineStr">
        <is>
          <t>미구현</t>
        </is>
      </c>
      <c r="D179" s="9" t="inlineStr">
        <is>
          <t>결제 시스템의 금융·보안기관 연계 가능 여부 확인 — 부분 — 모의 결제와 결제 어댑터 설계(ADR-RSV-03)만. PG사 연계 요건 확인 문서 없음</t>
        </is>
      </c>
      <c r="E179" s="11" t="inlineStr">
        <is>
          <t>부분</t>
        </is>
      </c>
      <c r="F179" s="9" t="inlineStr">
        <is>
          <t>-</t>
        </is>
      </c>
      <c r="G179" s="9" t="inlineStr">
        <is>
          <t>UI 보안(1-2 #7)</t>
        </is>
      </c>
    </row>
    <row r="180">
      <c r="A180" s="9" t="inlineStr">
        <is>
          <t>GAP-04</t>
        </is>
      </c>
      <c r="B180" s="9" t="inlineStr">
        <is>
          <t>RFP 공통</t>
        </is>
      </c>
      <c r="C180" s="9" t="inlineStr">
        <is>
          <t>미구현</t>
        </is>
      </c>
      <c r="D180" s="9" t="inlineStr">
        <is>
          <t>이용자 매뉴얼 제작·게시판 탑재, 어플 사용 교육 자료 — 부분 — 관리자 웹 화면별 도움말과 회원 웹 이용 안내는 있다. 별도 사용자 매뉴얼(교육 자료 1편)과 게시판 탑재는 없다. 대면 교육은 해당 없음</t>
        </is>
      </c>
      <c r="E180" s="11" t="inlineStr">
        <is>
          <t>부분</t>
        </is>
      </c>
      <c r="F180" s="9" t="inlineStr">
        <is>
          <t>-</t>
        </is>
      </c>
      <c r="G180" s="9" t="inlineStr">
        <is>
          <t>과업4·산출물5(p.4·p.7)</t>
        </is>
      </c>
    </row>
    <row r="181">
      <c r="A181" s="9" t="inlineStr">
        <is>
          <t>GAP-05</t>
        </is>
      </c>
      <c r="B181" s="9" t="inlineStr">
        <is>
          <t>RFP 공통</t>
        </is>
      </c>
      <c r="C181" s="9" t="inlineStr">
        <is>
          <t>미구현</t>
        </is>
      </c>
      <c r="D181" s="9" t="inlineStr">
        <is>
          <t>단계별 개발 진행 보고서 5부 — 부분 — 진행 기록(docs/log/ 130여 건)·발표 자료는 있지만 개발·테스트·검수·도입·기대효과 단계별 보고서 형식은 없다</t>
        </is>
      </c>
      <c r="E181" s="11" t="inlineStr">
        <is>
          <t>부분</t>
        </is>
      </c>
      <c r="F181" s="9" t="inlineStr">
        <is>
          <t>-</t>
        </is>
      </c>
      <c r="G181" s="9" t="inlineStr">
        <is>
          <t>산출물4(p.7)</t>
        </is>
      </c>
    </row>
  </sheetData>
  <autoFilter ref="A11:G1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세부 ACL → 4-Role 고정 RBAC로 단순화. 지점 간 격리(전역 가드, D46)·퇴사 즉시 차단은 그대로 구현. "출력"은 목록 CSV를 역할 기준으로(D54)</t>
        </is>
      </c>
      <c r="G6" s="4" t="inlineStr">
        <is>
          <t>D1, D12, D46, D54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공지는 지점 단위(시설 지정 없음)</t>
        </is>
      </c>
      <c r="G9" s="4" t="inlineStr">
        <is>
          <t>D57, ADR-BRD-04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34·부분 4·해당 없음 11, 점검 중 찾은 문서 주소 XSS는 수정, log/139)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4개 + 지점 격리(개인별·기능별 세부 권한은 없음, D1).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9건과 조치 계획 — log/139)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219개가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23</t>
        </is>
      </c>
      <c r="D6" s="4" t="inlineStr">
        <is>
          <t>3</t>
        </is>
      </c>
      <c r="E6" s="4" t="inlineStr">
        <is>
          <t>2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26/28 = 93%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15</t>
        </is>
      </c>
      <c r="D7" s="4" t="inlineStr">
        <is>
          <t>1</t>
        </is>
      </c>
      <c r="E7" s="4" t="inlineStr">
        <is>
          <t>3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16/19 = 84%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8</t>
        </is>
      </c>
      <c r="D8" s="4" t="inlineStr">
        <is>
          <t>2</t>
        </is>
      </c>
      <c r="E8" s="4" t="inlineStr">
        <is>
          <t>4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10/17 = 59%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46</t>
        </is>
      </c>
      <c r="D9" s="4" t="inlineStr">
        <is>
          <t>6</t>
        </is>
      </c>
      <c r="E9" s="4" t="inlineStr">
        <is>
          <t>9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52/64 = 81%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1" t="inlineStr">
        <is>
          <t>부분</t>
        </is>
      </c>
      <c r="E19" s="4" t="inlineStr">
        <is>
          <t>역할 4개 고정(D1). 출력은 CSV를 역할 기준으로(D54). 세부 권한 표 없음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첨부(ADR-BRD-04). 배포 저장소의 실제 파일은 검증 전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이미지는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34·부분 4·해당 없음 11), 남은 조치 4건 표로 관리, 점검 중 찾은 XSS 수정(document-rules)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역할별 메뉴·버튼 표시, 서버는 @Roles로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1" t="inlineStr">
        <is>
          <t>부분</t>
        </is>
      </c>
      <c r="E64" s="4" t="inlineStr">
        <is>
          <t>역할·지점 단위까지만(D1)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9건과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수탁자·업무·위치 표(security-plan §7). 위탁 계약 문서 보관·수탁자 감독 기록은 없음(실데이터 운영 전 조치)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219개 라이선스 목록·허용형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1" t="inlineStr">
        <is>
          <t>부분</t>
        </is>
      </c>
      <c r="E80" s="4" t="inlineStr">
        <is>
          <t>화면 도움말·이용 안내만, 별도 매뉴얼 없음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1" t="inlineStr">
        <is>
          <t>부분</t>
        </is>
      </c>
      <c r="E87" s="4" t="inlineStr">
        <is>
          <t>진행 기록·발표 자료만(§2-3)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1" t="inlineStr">
        <is>
          <t>부분</t>
        </is>
      </c>
      <c r="E88" s="4" t="inlineStr">
        <is>
          <t>화면 도움말·이용 안내만(§2-3)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직원 계정과 역할 목록(본사)</t>
        </is>
      </c>
      <c r="C35" s="4" t="inlineStr">
        <is>
          <t>GET</t>
        </is>
      </c>
      <c r="D35" s="4" t="inlineStr">
        <is>
          <t>/permissions/staff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직원 역할 전환(지점 관리자 ↔ 직원, 본사)</t>
        </is>
      </c>
      <c r="C36" s="4" t="inlineStr">
        <is>
          <t>PATCH</t>
        </is>
      </c>
      <c r="D36" s="4" t="inlineStr">
        <is>
          <t>/permissions/staff/:staffId/role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8">
      <c r="A38" s="5" t="inlineStr">
        <is>
          <t>설계 결정(ADR)</t>
        </is>
      </c>
    </row>
    <row r="39">
      <c r="A39" s="6" t="inlineStr">
        <is>
          <t>ADR</t>
        </is>
      </c>
      <c r="B39" s="6" t="inlineStr">
        <is>
          <t>결정</t>
        </is>
      </c>
      <c r="C39" s="6" t="inlineStr"/>
      <c r="D39" s="6" t="inlineStr"/>
      <c r="E39" s="6" t="inlineStr"/>
      <c r="F39" s="6" t="inlineStr">
        <is>
          <t>상태</t>
        </is>
      </c>
    </row>
    <row r="40">
      <c r="A40" s="4" t="inlineStr">
        <is>
          <t>ADR-AUTH-01</t>
        </is>
      </c>
      <c r="B40" s="4" t="inlineStr">
        <is>
          <t>매 요청 Account 재조회로 퇴사·Role 변경 즉시 반영</t>
        </is>
      </c>
      <c r="C40" s="14" t="n"/>
      <c r="D40" s="14" t="n"/>
      <c r="E40" s="15" t="n"/>
      <c r="F40" s="10" t="inlineStr">
        <is>
          <t>구현</t>
        </is>
      </c>
    </row>
    <row r="41">
      <c r="A41" s="4" t="inlineStr">
        <is>
          <t>ADR-AUTH-02</t>
        </is>
      </c>
      <c r="B41" s="4" t="inlineStr">
        <is>
          <t>계약 종료 지점 계정 — 쓰기 차단 + 수동 비활성화</t>
        </is>
      </c>
      <c r="C41" s="14" t="n"/>
      <c r="D41" s="14" t="n"/>
      <c r="E41" s="15" t="n"/>
      <c r="F41" s="10" t="inlineStr">
        <is>
          <t>구현(수단은 본사 퇴사 처리, 인사정보관리 ADR-STF-08·log/103)</t>
        </is>
      </c>
    </row>
    <row r="42">
      <c r="A42" s="4" t="inlineStr">
        <is>
          <t>ADR-AUTH-03</t>
        </is>
      </c>
      <c r="B42" s="4" t="inlineStr">
        <is>
          <t>4-Role 고정 RBAC(개별 ACL 없음)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ADR-AUTH-04</t>
        </is>
      </c>
      <c r="B43" s="4" t="inlineStr">
        <is>
          <t>Refresh Token 발급 시 그 계정의 만료·폐기 토큰 정리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ADR-AUTH-05</t>
        </is>
      </c>
      <c r="B44" s="4" t="inlineStr">
        <is>
          <t>비밀번호 변경 — 데모 계정 403, 불일치 400, 변경 시 refresh token 전부 폐기</t>
        </is>
      </c>
      <c r="C44" s="14" t="n"/>
      <c r="D44" s="14" t="n"/>
      <c r="E44" s="15" t="n"/>
      <c r="F44" s="10" t="inlineStr">
        <is>
          <t>구현(log/091)</t>
        </is>
      </c>
    </row>
    <row r="45">
      <c r="A45" s="4" t="inlineStr">
        <is>
          <t>ADR-AUTH-06</t>
        </is>
      </c>
      <c r="B45" s="4" t="inlineStr">
        <is>
          <t>갱신 토큰 원자적 폐기 — 동시 갱신은 한 요청만 성공(재사용 탐지는 안 함)</t>
        </is>
      </c>
      <c r="C45" s="14" t="n"/>
      <c r="D45" s="14" t="n"/>
      <c r="E45" s="15" t="n"/>
      <c r="F45" s="10" t="inlineStr">
        <is>
          <t>구현(log/123)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로그인 잠금, /accounts 범용 API, 비밀번호 재설정·로그인 이력 화면</t>
        </is>
      </c>
    </row>
  </sheetData>
  <mergeCells count="23">
    <mergeCell ref="B40:E40"/>
    <mergeCell ref="B7:F7"/>
    <mergeCell ref="C17:F17"/>
    <mergeCell ref="B24:E24"/>
    <mergeCell ref="C19:F19"/>
    <mergeCell ref="C13:F13"/>
    <mergeCell ref="B45:E45"/>
    <mergeCell ref="C18:F18"/>
    <mergeCell ref="B41:E41"/>
    <mergeCell ref="B25:E25"/>
    <mergeCell ref="C15:F15"/>
    <mergeCell ref="B8:F8"/>
    <mergeCell ref="C14:F14"/>
    <mergeCell ref="B43:E43"/>
    <mergeCell ref="C16:F16"/>
    <mergeCell ref="A48:F48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2">
      <c r="A42" s="5" t="inlineStr">
        <is>
          <t>미구현·범위 제외(도메인 문서 기준)</t>
        </is>
      </c>
    </row>
    <row r="43" ht="30" customHeight="1">
      <c r="A43" s="16" t="inlineStr">
        <is>
          <t>pinned·읽음 확인(범위 제외), category 필터 UI, TrainingLog</t>
        </is>
      </c>
    </row>
  </sheetData>
  <mergeCells count="16">
    <mergeCell ref="C13:F13"/>
    <mergeCell ref="B36:E36"/>
    <mergeCell ref="B18:E18"/>
    <mergeCell ref="B7:F7"/>
    <mergeCell ref="B40:E40"/>
    <mergeCell ref="B6:F6"/>
    <mergeCell ref="B20:F20"/>
    <mergeCell ref="B37:E37"/>
    <mergeCell ref="C12:F12"/>
    <mergeCell ref="B38:E38"/>
    <mergeCell ref="B5:F5"/>
    <mergeCell ref="B39:E39"/>
    <mergeCell ref="C11:F11"/>
    <mergeCell ref="B19:E19"/>
    <mergeCell ref="C14:F14"/>
    <mergeCell ref="A43:F4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권한관리(1-1 #1)·UI 보안(1-2 #7)</t>
        </is>
      </c>
      <c r="C5" s="4" t="inlineStr">
        <is>
          <t>사용자별·프로그램별 세부 권한(입력·수정·삭제·조회·출력), 개인별·기능별 접근 통제</t>
        </is>
      </c>
      <c r="D5" s="4" t="inlineStr">
        <is>
          <t>부분 — 역할 4개 + 지점 격리로 조정(D1). 출력은 회원·근태 요약·결제 CSV를 역할 기준으로만(D54), 인쇄용 화면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시스템가용성(1-1 #10)</t>
        </is>
      </c>
      <c r="C6" s="4" t="inlineStr">
        <is>
          <t>메모리 평균 85% 이하 유지</t>
        </is>
      </c>
      <c r="D6" s="4" t="inlineStr">
        <is>
          <t>부분 — 경보 절차는 작성(aws-lambda/README §6). AWS 콘솔 적용은 사용자 작업 — 아직 없음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UI 보안(1-2 #7)</t>
        </is>
      </c>
      <c r="C7" s="4" t="inlineStr">
        <is>
          <t>결제 시스템의 금융·보안기관 연계 가능 여부 확인</t>
        </is>
      </c>
      <c r="D7" s="4" t="inlineStr">
        <is>
          <t>부분 — 모의 결제와 결제 어댑터 설계(ADR-RSV-03)만. PG사 연계 요건 확인 문서 없음</t>
        </is>
      </c>
      <c r="E7" s="11" t="inlineStr">
        <is>
          <t>부분</t>
        </is>
      </c>
    </row>
    <row r="8">
      <c r="A8" s="4" t="inlineStr">
        <is>
          <t>GAP-04</t>
        </is>
      </c>
      <c r="B8" s="4" t="inlineStr">
        <is>
          <t>과업4·산출물5(p.4·p.7)</t>
        </is>
      </c>
      <c r="C8" s="4" t="inlineStr">
        <is>
          <t>이용자 매뉴얼 제작·게시판 탑재, 어플 사용 교육 자료</t>
        </is>
      </c>
      <c r="D8" s="4" t="inlineStr">
        <is>
          <t>부분 — 관리자 웹 화면별 도움말과 회원 웹 이용 안내는 있다. 별도 사용자 매뉴얼(교육 자료 1편)과 게시판 탑재는 없다. 대면 교육은 해당 없음</t>
        </is>
      </c>
      <c r="E8" s="11" t="inlineStr">
        <is>
          <t>부분</t>
        </is>
      </c>
    </row>
    <row r="9">
      <c r="A9" s="4" t="inlineStr">
        <is>
          <t>GAP-05</t>
        </is>
      </c>
      <c r="B9" s="4" t="inlineStr">
        <is>
          <t>산출물4(p.7)</t>
        </is>
      </c>
      <c r="C9" s="4" t="inlineStr">
        <is>
          <t>단계별 개발 진행 보고서 5부</t>
        </is>
      </c>
      <c r="D9" s="4" t="inlineStr">
        <is>
          <t>부분 — 진행 기록(docs/log/ 130여 건)·발표 자료는 있지만 개발·테스트·검수·도입·기대효과 단계별 보고서 형식은 없다</t>
        </is>
      </c>
      <c r="E9" s="11" t="inlineStr">
        <is>
          <t>부분</t>
        </is>
      </c>
    </row>
    <row r="11">
      <c r="A11" s="5" t="inlineStr">
        <is>
          <t>API는 있고 화면이 없는 것</t>
        </is>
      </c>
    </row>
    <row r="12" ht="36" customHeight="1">
      <c r="A12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4">
      <c r="A14" s="5" t="inlineStr">
        <is>
          <t>설계는 있지만 미구현인 도메인 규칙</t>
        </is>
      </c>
    </row>
    <row r="15" ht="36" customHeight="1">
      <c r="A15" s="16" t="inlineStr">
        <is>
          <t>결제 PaymentGateway 어댑터(ADR-RSV-03) — 실 PG를 붙일 때 필요하다.</t>
        </is>
      </c>
    </row>
  </sheetData>
  <mergeCells count="2">
    <mergeCell ref="A15:E15"/>
    <mergeCell ref="A12:E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2026-10-20T12:12:13Z</dcterms:created>
  <dcterms:modified xmlns:dcterms="http://purl.org/dc/terms/" xmlns:xsi="http://www.w3.org/2001/XMLSchema-instance" xsi:type="dcterms:W3CDTF">2026-10-20T12:12:13Z</dcterms:modified>
</cp:coreProperties>
</file>