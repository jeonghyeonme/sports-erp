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총괄'!$A$11:$G$185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2026-10-24</t>
        </is>
      </c>
    </row>
    <row r="7">
      <c r="A7" s="3" t="inlineStr">
        <is>
          <t>기준</t>
        </is>
      </c>
      <c r="B7" s="4" t="inlineStr">
        <is>
          <t>2026-10-24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103개 · 불변규칙 26개 · RFP 미구현·부분 3건 · 자동 테스트 파일 53개</t>
        </is>
      </c>
    </row>
    <row r="9">
      <c r="A9" s="3" t="inlineStr">
        <is>
          <t>RFP 충족</t>
        </is>
      </c>
      <c r="B9" s="4" t="inlineStr">
        <is>
          <t>조항 72개 중 구현+조정 58/72 = 81%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COUNTIF($C$12:$C$186,"기능")</f>
        <v/>
      </c>
    </row>
    <row r="6">
      <c r="A6" s="7" t="inlineStr">
        <is>
          <t xml:space="preserve">  └ 화면 있음</t>
        </is>
      </c>
      <c r="B6" s="8">
        <f>COUNTIFS($C$12:$C$186,"기능",$F$12:$F$186,"있음")</f>
        <v/>
      </c>
    </row>
    <row r="7">
      <c r="A7" s="7" t="inlineStr">
        <is>
          <t xml:space="preserve">  └ 화면 없음(API만)</t>
        </is>
      </c>
      <c r="B7" s="8">
        <f>COUNTIFS($C$12:$C$186,"기능",$F$12:$F$186,"없음")</f>
        <v/>
      </c>
    </row>
    <row r="8">
      <c r="A8" s="7" t="inlineStr">
        <is>
          <t>불변규칙 수</t>
        </is>
      </c>
      <c r="B8" s="8">
        <f>COUNTIF($C$12:$C$186,"불변규칙")</f>
        <v/>
      </c>
    </row>
    <row r="9">
      <c r="A9" s="7" t="inlineStr">
        <is>
          <t>RFP 미구현·부분 항목</t>
        </is>
      </c>
      <c r="B9" s="8">
        <f>COUNTIF($C$12:$C$186,"미구현")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facility-lifecycle·facility-occupancy·catalog-flow·contract-termination·branch-isolation spec, e2e admin-congestion·member-congestion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facility-lifecycle·facility-occupancy·catalog-flow·contract-termination·branch-isolation spec, e2e admin-congestion·member-congestion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처리 대기함 — 역할별 지금 처리할 일 건수(D61)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GET /inbox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등록(지점 관리자 → 본사, D56)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POST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목록(지점은 자기 지점, 본사는 전체)</t>
        </is>
      </c>
      <c r="E180" s="10" t="inlineStr">
        <is>
          <t>구현</t>
        </is>
      </c>
      <c r="F180" s="4" t="inlineStr">
        <is>
          <t>있음</t>
        </is>
      </c>
      <c r="G180" s="4" t="inlineStr">
        <is>
          <t>GET /support-requests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상세</t>
        </is>
      </c>
      <c r="E181" s="10" t="inlineStr">
        <is>
          <t>구현</t>
        </is>
      </c>
      <c r="F181" s="4" t="inlineStr">
        <is>
          <t>없음</t>
        </is>
      </c>
      <c r="G181" s="4" t="inlineStr">
        <is>
          <t>GET /support-requests/:id</t>
        </is>
      </c>
    </row>
    <row r="182">
      <c r="A182" s="4" t="inlineStr">
        <is>
          <t>COM-FN-11</t>
        </is>
      </c>
      <c r="B182" s="4" t="inlineStr">
        <is>
          <t>공통</t>
        </is>
      </c>
      <c r="C182" s="4" t="inlineStr">
        <is>
          <t>기능</t>
        </is>
      </c>
      <c r="D182" s="4" t="inlineStr">
        <is>
          <t>업무지원 요청 처리 상태 변경(본사)</t>
        </is>
      </c>
      <c r="E182" s="10" t="inlineStr">
        <is>
          <t>구현</t>
        </is>
      </c>
      <c r="F182" s="4" t="inlineStr">
        <is>
          <t>있음</t>
        </is>
      </c>
      <c r="G182" s="4" t="inlineStr">
        <is>
          <t>PATCH /support-requests/:id/status</t>
        </is>
      </c>
    </row>
    <row r="183">
      <c r="A183" s="9" t="inlineStr">
        <is>
          <t>GAP-01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결제 시스템의 금융·보안기관 연계 가능 여부 확인 — 부분 — 모의 결제와 결제 어댑터 설계(ADR-RSV-03), 연계 확인 문서(pg-integration-check, log/165 — 카드 정보는 우리 서버를 거치지 않고 승인 API만 부르는 구조, 테스트 키는 계약 없이 발급). 남은 것: 테스트 키로 실제 승인·취소 1회(사용자 PC — 세션은 PG 주소 접속 불가)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UI 보안(1-2 #7)</t>
        </is>
      </c>
    </row>
    <row r="184">
      <c r="A184" s="9" t="inlineStr">
        <is>
          <t>GAP-02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앱 개발 → 테스트 → 검수 → 완료 → 도입 → 경영개선 기대효과 분석 — 부분 — 개발·테스트·운영 배포까지. 검수(발주기관)·도입·기대효과 분석은 없다(기대효과는 P2-2와 같은 이유로 의도적 제외)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과업3(p.3)</t>
        </is>
      </c>
    </row>
    <row r="185">
      <c r="A185" s="9" t="inlineStr">
        <is>
          <t>GAP-03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개인정보보호법 제26조(업무위탁) 준수 — 부분 — 처리방침의 위탁 고지(D51)·수탁자 표, 위탁 문서 항목과 서비스별 DPA 맺는 법·연 1회 감독 절차(security-plan §7-1·7-2, log/165). 남은 것: Supabase DPA 서명과 세 서비스 DPA 보관, 첫 감독 기록(실데이터 운영 전, 사용자)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보안요건(1-2 #8)</t>
        </is>
      </c>
    </row>
  </sheetData>
  <autoFilter ref="A11:G1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지점 공지에 대상 시설 지정(ADR-BRD-05). 본문은 작성·수정 화면의 서식 편집기 + 허용 목록 정화 두 겹(D62) — 이미지는 본문이 아니라 첨부로</t>
        </is>
      </c>
      <c r="G9" s="4" t="inlineStr">
        <is>
          <t>D57, D62, ADR-BRD-04, ADR-BRD-05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진행 중 강습의 예약 인원(조회 때 자동) + 예약 외 현장 인원(관리자 입력) + 정원 기준 5단계 자동 판정(ADR-FAC-05). 현장 입력 후 30분이 지나면 관리자·회원 화면에 경고(log/114). 입장 기록(키오스크) 기반·5분 주기 자동계산은 보류·범위 제외</t>
        </is>
      </c>
      <c r="G13" s="4" t="inlineStr">
        <is>
          <t>D10, 혼잡도관리 ADR-FAC-05·A-8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37·부분 1·해당 없음 11 — 2026-10-22 정수 상한·임시 비밀번호·비밀번호 조합 반영, log/164, 점검 중 찾은 문서 주소 XSS는 수정, log/139). 의존성 알려진 취약점은 npm audit로 대조해 운영 18 → 4건(D63) → 메이저 업그레이드로 0건(D65)·개발 도구 고친 판 없는 2건 수용(D64)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버튼은 세부 권한대로 숨긴다(D60).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10건과 조치 계획 — log/139, S10 의존성 취약점은 D63)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243개(2026-10-22 재생성, log/158)가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조항 수(해당 없음·미구현도 분모에 남긴다)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25</t>
        </is>
      </c>
      <c r="D6" s="4" t="inlineStr">
        <is>
          <t>3</t>
        </is>
      </c>
      <c r="E6" s="4" t="inlineStr">
        <is>
          <t>0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28/29 = 97%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17/25 = 68%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11</t>
        </is>
      </c>
      <c r="D8" s="4" t="inlineStr">
        <is>
          <t>2</t>
        </is>
      </c>
      <c r="E8" s="4" t="inlineStr">
        <is>
          <t>1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13/18 = 72%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52</t>
        </is>
      </c>
      <c r="D9" s="4" t="inlineStr">
        <is>
          <t>6</t>
        </is>
      </c>
      <c r="E9" s="4" t="inlineStr">
        <is>
          <t>3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58/72 = 81%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분모에는 남긴다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 — 배포 저장소 올리기·내려받기 확인(log/144), 교육 자료 PDF 운영 탑재(log/153)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글은 작성·수정 화면의 서식 편집기(D62, ADR-BRD-06 — post-rich-content), 이미지는 첨부로 올려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강습 예약 인원은 회차 시작과 함께 자동 반영(ADR-FAC-05, facility-occupancy), 예약 외 현장 인원은 수동 입력 즉시 반영 + 30분 경과 경고(D10, log/114). 인원 대부분이 현장 입력이라 조정 유지. 입장 기록 기반은 보류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0" t="inlineStr">
        <is>
          <t>구현</t>
        </is>
      </c>
      <c r="E41" s="4" t="inlineStr">
        <is>
          <t>실측 최대 167MB/1,024MB(약 16%) + CloudWatch 경보(REPORT 줄 지표 필터 → 5분 평균 &gt; 870MB, 이메일) 운영 적용(2026-10-22, aws-lambda/README §6, log/169)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37·부분 1·해당 없음 11 — 2026-10-22 정수 상한·임시 비밀번호·비밀번호 조합 반영, log/164), 남은 조치는 계정별 로그인 제한 1건(수용), 점검 중 찾은 XSS 수정(document-rules). 의존성 취약점 대조(API-2 — 운영 18 → 0건 D63·D65, 개발 도구 D64)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세부 권한대로 메뉴·등록·수정·삭제·CSV 버튼을 숨기고(useCan, D60, log/148) 서버가 @Roles·PermissionGuard로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설계(ADR-RSV-03) + 연계 확인 문서(pg-integration-check, log/165). 테스트 키 실제 호출 전이라 부분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10건(S10 의존성 취약점, D63)과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처리방침의 위탁 고지(D51), 수탁자 표·위탁 문서 항목·DPA 맺는 법·감독 절차(security-plan §7, log/165). DPA 서명·보관·감독 기록은 실데이터 운영 전(사용자)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243개 라이선스 목록(log/158 재생성)·허용형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0" t="inlineStr">
        <is>
          <t>구현</t>
        </is>
      </c>
      <c r="E80" s="4" t="inlineStr">
        <is>
          <t>사용자 매뉴얼(Word, 역할별 4장·화면 캡처·오류 해결 부록 — 화면 도움말을 원천으로 생성, log/152) + 앱 안 탑재(관리자 웹 화면별 도움말, 회원 웹 이용 안내)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0" t="inlineStr">
        <is>
          <t>구현</t>
        </is>
      </c>
      <c r="E87" s="4" t="inlineStr">
        <is>
          <t>진행보고서 1~5(Word) — 분석·설계 / 실DB 전환·배포 / 기능 구현·RFP / 테스트·검증 / 완성·산출물, 단계마다 목표·결과·결정·검증·문제와 대응·넘긴 것 + 작업 기록 부록. 진행 기록·결정 인덱스에서 생성(scripts/deliverables/progress-reports.js, log/161)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0" t="inlineStr">
        <is>
          <t>구현</t>
        </is>
      </c>
      <c r="E88" s="4" t="inlineStr">
        <is>
          <t>역할별 빠른 시작 1편(PDF, log/152)을 운영 게시판 본사 공지 "교육자료" 분류(직원 교육자료 탭)에 첨부(2026-10-22, log/153) — 지점 관리자·직원 열람, 회원 비공개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실측(2026-10-24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2">
      <c r="A52" s="4" t="inlineStr">
        <is>
          <t>ADR-AUTH-08</t>
        </is>
      </c>
      <c r="B52" s="4" t="inlineStr">
        <is>
          <t>새 비밀번호 영문·숫자 8~72자, 채용 계정은 무작위 임시 비밀번호 + 첫 로그인 변경 강제(mustChangePassword, 그 전엔 403)</t>
        </is>
      </c>
      <c r="C52" s="14" t="n"/>
      <c r="D52" s="14" t="n"/>
      <c r="E52" s="15" t="n"/>
      <c r="F52" s="10" t="inlineStr">
        <is>
          <t>구현(log/164)</t>
        </is>
      </c>
    </row>
    <row r="54">
      <c r="A54" s="5" t="inlineStr">
        <is>
          <t>미구현·범위 제외(도메인 문서 기준)</t>
        </is>
      </c>
    </row>
    <row r="55" ht="30" customHeight="1">
      <c r="A55" s="16" t="inlineStr">
        <is>
          <t>로그인 잠금, /accounts 범용 API, 비밀번호 재설정·로그인 이력 화면</t>
        </is>
      </c>
    </row>
  </sheetData>
  <mergeCells count="25">
    <mergeCell ref="B7:F7"/>
    <mergeCell ref="C17:F17"/>
    <mergeCell ref="B49:E49"/>
    <mergeCell ref="B24:E24"/>
    <mergeCell ref="B51:E51"/>
    <mergeCell ref="C19:F19"/>
    <mergeCell ref="A55:F55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52:E52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실측(2026-10-24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실측(2026-10-24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실측(2026-10-24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1">
      <c r="A41" s="4" t="inlineStr">
        <is>
          <t>ADR-BRD-06</t>
        </is>
      </c>
      <c r="B41" s="4" t="inlineStr">
        <is>
          <t>본문 서식 HTML — 별도 작성·수정 화면(편집기 + 첨부 한곳), 저장 전 허용 목록 정화 + 보일 때 DOMPurify(D62)</t>
        </is>
      </c>
      <c r="C41" s="14" t="n"/>
      <c r="D41" s="14" t="n"/>
      <c r="E41" s="15" t="n"/>
      <c r="F41" s="10" t="inlineStr">
        <is>
          <t>구현(log/154)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pinned·읽음 확인(범위 제외), category 필터 UI, TrainingLog</t>
        </is>
      </c>
    </row>
  </sheetData>
  <mergeCells count="17">
    <mergeCell ref="C13:F13"/>
    <mergeCell ref="B36:E36"/>
    <mergeCell ref="B18:E18"/>
    <mergeCell ref="B7:F7"/>
    <mergeCell ref="B40:E40"/>
    <mergeCell ref="B6:F6"/>
    <mergeCell ref="B41:E41"/>
    <mergeCell ref="B20:F20"/>
    <mergeCell ref="A44:F44"/>
    <mergeCell ref="B37:E37"/>
    <mergeCell ref="C12:F12"/>
    <mergeCell ref="B38:E38"/>
    <mergeCell ref="B5:F5"/>
    <mergeCell ref="B39:E39"/>
    <mergeCell ref="C11:F11"/>
    <mergeCell ref="B19:E19"/>
    <mergeCell ref="C14:F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실측(2026-10-24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실측(2026-10-24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실측(2026-10-24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실측(2026-10-24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facility-lifecycle·facility-occupancy·catalog-flow·contract-termination·branch-isolation spec, e2e admin-congestion·member-congestion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5">
      <c r="A35" s="4" t="inlineStr">
        <is>
          <t>ADR-FAC-05</t>
        </is>
      </c>
      <c r="B35" s="4" t="inlineStr">
        <is>
          <t>혼잡도 = 진행 중 회차의 예약 인원(조회 때 자동) + 예약 외 현장 인원(관리자 입력). 키오스크 입장 방식은 검토 후 보류</t>
        </is>
      </c>
      <c r="C35" s="14" t="n"/>
      <c r="D35" s="14" t="n"/>
      <c r="E35" s="15" t="n"/>
      <c r="F35" s="10" t="inlineStr">
        <is>
          <t>구현(2026-10-22)</t>
        </is>
      </c>
    </row>
    <row r="37">
      <c r="A37" s="5" t="inlineStr">
        <is>
          <t>미구현·범위 제외(도메인 문서 기준)</t>
        </is>
      </c>
    </row>
    <row r="38" ht="30" customHeight="1">
      <c r="A38" s="16" t="inlineStr">
        <is>
          <t>QR 체크인/아웃, 5분 주기 자동계산(스케줄러), 미체크아웃 자동 마감, 키오스크 입장(ADR-FAC-05 보류) — 구현하려면 사용자 승인</t>
        </is>
      </c>
    </row>
  </sheetData>
  <mergeCells count="16">
    <mergeCell ref="C13:F13"/>
    <mergeCell ref="B31:E31"/>
    <mergeCell ref="A38:F38"/>
    <mergeCell ref="B18:E18"/>
    <mergeCell ref="B7:F7"/>
    <mergeCell ref="B6:F6"/>
    <mergeCell ref="B35:E35"/>
    <mergeCell ref="B20:F20"/>
    <mergeCell ref="C12:F12"/>
    <mergeCell ref="B34:E34"/>
    <mergeCell ref="B5:F5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실측(2026-10-24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UI 보안(1-2 #7)</t>
        </is>
      </c>
      <c r="C5" s="4" t="inlineStr">
        <is>
          <t>결제 시스템의 금융·보안기관 연계 가능 여부 확인</t>
        </is>
      </c>
      <c r="D5" s="4" t="inlineStr">
        <is>
          <t>부분 — 모의 결제와 결제 어댑터 설계(ADR-RSV-03), 연계 확인 문서(pg-integration-check, log/165 — 카드 정보는 우리 서버를 거치지 않고 승인 API만 부르는 구조, 테스트 키는 계약 없이 발급). 남은 것: 테스트 키로 실제 승인·취소 1회(사용자 PC — 세션은 PG 주소 접속 불가)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과업3(p.3)</t>
        </is>
      </c>
      <c r="C6" s="4" t="inlineStr">
        <is>
          <t>앱 개발 → 테스트 → 검수 → 완료 → 도입 → 경영개선 기대효과 분석</t>
        </is>
      </c>
      <c r="D6" s="4" t="inlineStr">
        <is>
          <t>부분 — 개발·테스트·운영 배포까지. 검수(발주기관)·도입·기대효과 분석은 없다(기대효과는 P2-2와 같은 이유로 의도적 제외)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보안요건(1-2 #8)</t>
        </is>
      </c>
      <c r="C7" s="4" t="inlineStr">
        <is>
          <t>개인정보보호법 제26조(업무위탁) 준수</t>
        </is>
      </c>
      <c r="D7" s="4" t="inlineStr">
        <is>
          <t>부분 — 처리방침의 위탁 고지(D51)·수탁자 표, 위탁 문서 항목과 서비스별 DPA 맺는 법·연 1회 감독 절차(security-plan §7-1·7-2, log/165). 남은 것: Supabase DPA 서명과 세 서비스 DPA 보관, 첫 감독 기록(실데이터 운영 전, 사용자)</t>
        </is>
      </c>
      <c r="E7" s="11" t="inlineStr">
        <is>
          <t>부분</t>
        </is>
      </c>
    </row>
    <row r="9">
      <c r="A9" s="5" t="inlineStr">
        <is>
          <t>API는 있고 화면이 없는 것</t>
        </is>
      </c>
    </row>
    <row r="10" ht="36" customHeight="1">
      <c r="A10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2">
      <c r="A12" s="5" t="inlineStr">
        <is>
          <t>설계는 있지만 미구현인 도메인 규칙</t>
        </is>
      </c>
    </row>
    <row r="13" ht="36" customHeight="1">
      <c r="A13" s="16" t="inlineStr">
        <is>
          <t>결제 PaymentGateway 어댑터(ADR-RSV-03) — 실 PG를 붙일 때 필요하다.</t>
        </is>
      </c>
    </row>
  </sheetData>
  <mergeCells count="2">
    <mergeCell ref="A10:E10"/>
    <mergeCell ref="A13:E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2026-10-24T20:59:53Z</dcterms:created>
  <dcterms:modified xmlns:dcterms="http://purl.org/dc/terms/" xmlns:xsi="http://www.w3.org/2001/XMLSchema-instance" xsi:type="dcterms:W3CDTF">2026-10-24T20:59:53Z</dcterms:modified>
</cp:coreProperties>
</file>