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요구사항 총괄" sheetId="2" state="visible" r:id="rId4"/>
    <sheet name="RFP 추적" sheetId="3" state="visible" r:id="rId5"/>
    <sheet name="권한관리" sheetId="4" state="visible" r:id="rId6"/>
    <sheet name="인사정보관리" sheetId="5" state="visible" r:id="rId7"/>
    <sheet name="근태관리" sheetId="6" state="visible" r:id="rId8"/>
    <sheet name="게시판" sheetId="7" state="visible" r:id="rId9"/>
    <sheet name="회원관리" sheetId="8" state="visible" r:id="rId10"/>
    <sheet name="예약및결제" sheetId="9" state="visible" r:id="rId11"/>
    <sheet name="강사프로그램게시" sheetId="10" state="visible" r:id="rId12"/>
    <sheet name="혼잡도관리" sheetId="11" state="visible" r:id="rId13"/>
    <sheet name="자원문서관리" sheetId="12" state="visible" r:id="rId14"/>
    <sheet name="미구현" sheetId="13" state="visible" r:id="rId15"/>
    <sheet name="범위 제외" sheetId="14" state="visible" r:id="rId16"/>
  </sheets>
  <definedNames>
    <definedName function="false" hidden="true" localSheetId="1" name="_xlnm._FilterDatabase" vbProcedure="false">'요구사항 총괄'!$A$11:$G$164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<sst xmlns="http://schemas.openxmlformats.org/spreadsheetml/2006/main" count="2369" uniqueCount="862">
  <si>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요구사항 정의서</t>
    </r>
  </si>
  <si>
    <r>
      <rPr>
        <sz val="10"/>
        <color rgb="FF4B5563"/>
        <rFont val="Noto Sans CJK SC"/>
        <family val="2"/>
      </rPr>
      <t xml:space="preserve">요구사항 총괄 </t>
    </r>
    <r>
      <rPr>
        <sz val="10"/>
        <color rgb="FF4B5563"/>
        <rFont val="맑은 고딕"/>
        <family val="0"/>
        <charset val="1"/>
      </rPr>
      <t xml:space="preserve">· RFP </t>
    </r>
    <r>
      <rPr>
        <sz val="10"/>
        <color rgb="FF4B5563"/>
        <rFont val="Noto Sans CJK SC"/>
        <family val="2"/>
      </rPr>
      <t xml:space="preserve">추적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도메인별 요구사항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미구현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범위 제외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</si>
  <si>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</si>
  <si>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</si>
  <si>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</si>
  <si>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요구사항 정의서</t>
  </si>
  <si>
    <t xml:space="preserve">작성일</t>
  </si>
  <si>
    <t xml:space="preserve">2026-10-05</t>
  </si>
  <si>
    <t xml:space="preserve">기준</t>
  </si>
  <si>
    <r>
      <rPr>
        <sz val="10"/>
        <color rgb="FF14191C"/>
        <rFont val="Noto Sans CJK SC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8d87234 — </t>
    </r>
    <r>
      <rPr>
        <sz val="10"/>
        <color rgb="FF14191C"/>
        <rFont val="Noto Sans CJK SC"/>
        <family val="2"/>
      </rPr>
      <t xml:space="preserve">도메인 문서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요구사항추적표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라우트에서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</si>
  <si>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</si>
  <si>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도메인 </t>
    </r>
    <r>
      <rPr>
        <sz val="10"/>
        <color rgb="FF14191C"/>
        <rFont val="맑은 고딕"/>
        <family val="0"/>
        <charset val="1"/>
      </rPr>
      <t xml:space="preserve">9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기능</t>
    </r>
    <r>
      <rPr>
        <sz val="10"/>
        <color rgb="FF14191C"/>
        <rFont val="맑은 고딕"/>
        <family val="0"/>
        <charset val="1"/>
      </rPr>
      <t xml:space="preserve">(API) 78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RFP </t>
    </r>
    <r>
      <rPr>
        <sz val="10"/>
        <color rgb="FF14191C"/>
        <rFont val="Noto Sans CJK SC"/>
        <family val="2"/>
      </rPr>
      <t xml:space="preserve">미구현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건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자동 테스트 파일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</t>
    </r>
  </si>
  <si>
    <t xml:space="preserve">범위</t>
  </si>
  <si>
    <r>
      <rPr>
        <sz val="10"/>
        <color rgb="FF14191C"/>
        <rFont val="Noto Sans CJK SC"/>
        <family val="2"/>
      </rPr>
      <t xml:space="preserve">관리자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) + REST API. </t>
    </r>
    <r>
      <rPr>
        <sz val="10"/>
        <color rgb="FF14191C"/>
        <rFont val="Noto Sans CJK SC"/>
        <family val="2"/>
      </rPr>
      <t xml:space="preserve">회원 앱은 범위 제외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 기능은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로 구현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 계정으로 관리자 웹에서 사용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</si>
  <si>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요구사항 </t>
    </r>
    <r>
      <rPr>
        <b val="true"/>
        <sz val="12"/>
        <color rgb="FF1E3A5F"/>
        <rFont val="맑은 고딕"/>
        <family val="0"/>
        <charset val="1"/>
      </rPr>
      <t xml:space="preserve">ID </t>
    </r>
    <r>
      <rPr>
        <b val="true"/>
        <sz val="12"/>
        <color rgb="FF1E3A5F"/>
        <rFont val="Noto Sans CJK SC"/>
        <family val="2"/>
      </rPr>
      <t xml:space="preserve">규칙</t>
    </r>
  </si>
  <si>
    <r>
      <rPr>
        <b val="true"/>
        <sz val="10"/>
        <color rgb="FF14191C"/>
        <rFont val="맑은 고딕"/>
        <family val="0"/>
        <charset val="1"/>
      </rPr>
      <t xml:space="preserve">F·Q + </t>
    </r>
    <r>
      <rPr>
        <b val="true"/>
        <sz val="10"/>
        <color rgb="FF14191C"/>
        <rFont val="Noto Sans CJK SC"/>
        <family val="2"/>
      </rPr>
      <t xml:space="preserve">번호</t>
    </r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</si>
  <si>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원문을 재분류한 기능</t>
    </r>
    <r>
      <rPr>
        <sz val="10"/>
        <color rgb="FF14191C"/>
        <rFont val="맑은 고딕"/>
        <family val="0"/>
        <charset val="1"/>
      </rPr>
      <t xml:space="preserve">(F)·</t>
    </r>
    <r>
      <rPr>
        <sz val="10"/>
        <color rgb="FF14191C"/>
        <rFont val="Noto Sans CJK SC"/>
        <family val="2"/>
      </rPr>
      <t xml:space="preserve">품질</t>
    </r>
    <r>
      <rPr>
        <sz val="10"/>
        <color rgb="FF14191C"/>
        <rFont val="맑은 고딕"/>
        <family val="0"/>
        <charset val="1"/>
      </rPr>
      <t xml:space="preserve">(Q) </t>
    </r>
    <r>
      <rPr>
        <sz val="10"/>
        <color rgb="FF14191C"/>
        <rFont val="Noto Sans CJK SC"/>
        <family val="2"/>
      </rPr>
      <t xml:space="preserve">요구 — 도메인 문서 </t>
    </r>
    <r>
      <rPr>
        <sz val="10"/>
        <color rgb="FF14191C"/>
        <rFont val="맑은 고딕"/>
        <family val="0"/>
        <charset val="1"/>
      </rPr>
      <t xml:space="preserve">§1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ID </t>
    </r>
    <r>
      <rPr>
        <sz val="10"/>
        <color rgb="FF14191C"/>
        <rFont val="Noto Sans CJK SC"/>
        <family val="2"/>
      </rPr>
      <t xml:space="preserve">그대로</t>
    </r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</si>
  <si>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&gt;-INV-nn</t>
    </r>
  </si>
  <si>
    <t xml:space="preserve">불변규칙 — 어떤 경우에도 깨지면 안 되는 규칙</t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</si>
  <si>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&gt;-FN-nn</t>
    </r>
  </si>
  <si>
    <r>
      <rPr>
        <sz val="10"/>
        <color rgb="FF14191C"/>
        <rFont val="Noto Sans CJK SC"/>
        <family val="2"/>
      </rPr>
      <t xml:space="preserve">기능 명세 — 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하나에 하나</t>
    </r>
  </si>
  <si>
    <t xml:space="preserve">GAP-nn</t>
  </si>
  <si>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요구하는데 아직 구현하지 않은 항목</t>
    </r>
  </si>
  <si>
    <t xml:space="preserve">도메인 약어</t>
  </si>
  <si>
    <r>
      <rPr>
        <sz val="10"/>
        <color rgb="FF14191C"/>
        <rFont val="맑은 고딕"/>
        <family val="0"/>
        <charset val="1"/>
      </rPr>
      <t xml:space="preserve">AUTH=</t>
    </r>
    <r>
      <rPr>
        <sz val="10"/>
        <color rgb="FF14191C"/>
        <rFont val="Noto Sans CJK SC"/>
        <family val="2"/>
      </rPr>
      <t xml:space="preserve">권한관리</t>
    </r>
    <r>
      <rPr>
        <sz val="10"/>
        <color rgb="FF14191C"/>
        <rFont val="맑은 고딕"/>
        <family val="0"/>
        <charset val="1"/>
      </rPr>
      <t xml:space="preserve">, STF=</t>
    </r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, ATT=</t>
    </r>
    <r>
      <rPr>
        <sz val="10"/>
        <color rgb="FF14191C"/>
        <rFont val="Noto Sans CJK SC"/>
        <family val="2"/>
      </rPr>
      <t xml:space="preserve">근태관리</t>
    </r>
    <r>
      <rPr>
        <sz val="10"/>
        <color rgb="FF14191C"/>
        <rFont val="맑은 고딕"/>
        <family val="0"/>
        <charset val="1"/>
      </rPr>
      <t xml:space="preserve">, BRD=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, MEM=</t>
    </r>
    <r>
      <rPr>
        <sz val="10"/>
        <color rgb="FF14191C"/>
        <rFont val="Noto Sans CJK SC"/>
        <family val="2"/>
      </rPr>
      <t xml:space="preserve">회원관리</t>
    </r>
    <r>
      <rPr>
        <sz val="10"/>
        <color rgb="FF14191C"/>
        <rFont val="맑은 고딕"/>
        <family val="0"/>
        <charset val="1"/>
      </rPr>
      <t xml:space="preserve">, RSV=</t>
    </r>
    <r>
      <rPr>
        <sz val="10"/>
        <color rgb="FF14191C"/>
        <rFont val="Noto Sans CJK SC"/>
        <family val="2"/>
      </rPr>
      <t xml:space="preserve">예약및결제</t>
    </r>
    <r>
      <rPr>
        <sz val="10"/>
        <color rgb="FF14191C"/>
        <rFont val="맑은 고딕"/>
        <family val="0"/>
        <charset val="1"/>
      </rPr>
      <t xml:space="preserve">, PRG=</t>
    </r>
    <r>
      <rPr>
        <sz val="10"/>
        <color rgb="FF14191C"/>
        <rFont val="Noto Sans CJK SC"/>
        <family val="2"/>
      </rPr>
      <t xml:space="preserve">강사프로그램게시</t>
    </r>
    <r>
      <rPr>
        <sz val="10"/>
        <color rgb="FF14191C"/>
        <rFont val="맑은 고딕"/>
        <family val="0"/>
        <charset val="1"/>
      </rPr>
      <t xml:space="preserve">, FAC=</t>
    </r>
    <r>
      <rPr>
        <sz val="10"/>
        <color rgb="FF14191C"/>
        <rFont val="Noto Sans CJK SC"/>
        <family val="2"/>
      </rPr>
      <t xml:space="preserve">혼잡도관리</t>
    </r>
    <r>
      <rPr>
        <sz val="10"/>
        <color rgb="FF14191C"/>
        <rFont val="맑은 고딕"/>
        <family val="0"/>
        <charset val="1"/>
      </rPr>
      <t xml:space="preserve">, RES=</t>
    </r>
    <r>
      <rPr>
        <sz val="10"/>
        <color rgb="FF14191C"/>
        <rFont val="Noto Sans CJK SC"/>
        <family val="2"/>
      </rPr>
      <t xml:space="preserve">자원문서관리</t>
    </r>
    <r>
      <rPr>
        <sz val="10"/>
        <color rgb="FF14191C"/>
        <rFont val="맑은 고딕"/>
        <family val="0"/>
        <charset val="1"/>
      </rPr>
      <t xml:space="preserve">, COM=</t>
    </r>
    <r>
      <rPr>
        <sz val="10"/>
        <color rgb="FF14191C"/>
        <rFont val="Noto Sans CJK SC"/>
        <family val="2"/>
      </rPr>
      <t xml:space="preserve">공통</t>
    </r>
  </si>
  <si>
    <t xml:space="preserve">상태 표기</t>
  </si>
  <si>
    <r>
      <rPr>
        <b val="true"/>
        <sz val="10"/>
        <color rgb="FF14191C"/>
        <rFont val="Noto Sans CJK SC"/>
        <family val="2"/>
      </rPr>
      <t xml:space="preserve">구현</t>
    </r>
    <r>
      <rPr>
        <b val="true"/>
        <sz val="10"/>
        <color rgb="FF14191C"/>
        <rFont val="맑은 고딕"/>
        <family val="0"/>
        <charset val="1"/>
      </rPr>
      <t xml:space="preserve">(API+</t>
    </r>
    <r>
      <rPr>
        <b val="true"/>
        <sz val="10"/>
        <color rgb="FF14191C"/>
        <rFont val="Noto Sans CJK SC"/>
        <family val="2"/>
      </rPr>
      <t xml:space="preserve">화면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</si>
  <si>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와 관리자 웹 화면이 모두 있다</t>
    </r>
  </si>
  <si>
    <r>
      <rPr>
        <b val="true"/>
        <sz val="10"/>
        <color rgb="FF14191C"/>
        <rFont val="맑은 고딕"/>
        <family val="0"/>
        <charset val="1"/>
      </rPr>
      <t xml:space="preserve">API</t>
    </r>
    <r>
      <rPr>
        <b val="true"/>
        <sz val="10"/>
        <color rgb="FF14191C"/>
        <rFont val="Noto Sans CJK SC"/>
        <family val="2"/>
      </rPr>
      <t xml:space="preserve">만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</si>
  <si>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있고 화면이 없다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사유를 괄호에 적음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</si>
  <si>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미구현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</si>
  <si>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요구인데 아직 없다</t>
    </r>
  </si>
  <si>
    <t xml:space="preserve">범위 제외</t>
  </si>
  <si>
    <t xml:space="preserve">근거를 두고 의도적으로 만들지 않았다</t>
  </si>
  <si>
    <t xml:space="preserve">검증</t>
  </si>
  <si>
    <r>
      <rPr>
        <sz val="10"/>
        <color rgb="FF14191C"/>
        <rFont val="Noto Sans CJK SC"/>
        <family val="2"/>
      </rPr>
      <t xml:space="preserve">자동 테스트는 </t>
    </r>
    <r>
      <rPr>
        <sz val="10"/>
        <color rgb="FF14191C"/>
        <rFont val="맑은 고딕"/>
        <family val="0"/>
        <charset val="1"/>
      </rPr>
      <t xml:space="preserve">API(jest)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관리자 웹은 </t>
    </r>
    <r>
      <rPr>
        <sz val="10"/>
        <color rgb="FF14191C"/>
        <rFont val="맑은 고딕"/>
        <family val="0"/>
        <charset val="1"/>
      </rPr>
      <t xml:space="preserve">lint·</t>
    </r>
    <r>
      <rPr>
        <sz val="10"/>
        <color rgb="FF14191C"/>
        <rFont val="Noto Sans CJK SC"/>
        <family val="2"/>
      </rPr>
      <t xml:space="preserve">빌드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타입체크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까지만 검증된다</t>
    </r>
  </si>
  <si>
    <t xml:space="preserve">요구사항 총괄</t>
  </si>
  <si>
    <r>
      <rPr>
        <sz val="10"/>
        <color rgb="FF4B5563"/>
        <rFont val="Noto Sans CJK SC"/>
        <family val="2"/>
      </rPr>
      <t xml:space="preserve">헤더 필터로 도메인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구분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상태별로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위 집계는 아래 표를 세는 수식이다</t>
    </r>
  </si>
  <si>
    <t xml:space="preserve">집계</t>
  </si>
  <si>
    <t xml:space="preserve">건수</t>
  </si>
  <si>
    <r>
      <rPr>
        <b val="true"/>
        <sz val="10"/>
        <color rgb="FF14191C"/>
        <rFont val="Noto Sans CJK SC"/>
        <family val="2"/>
      </rPr>
      <t xml:space="preserve">기능</t>
    </r>
    <r>
      <rPr>
        <b val="true"/>
        <sz val="10"/>
        <color rgb="FF14191C"/>
        <rFont val="맑은 고딕"/>
        <family val="0"/>
        <charset val="1"/>
      </rPr>
      <t xml:space="preserve">(API) </t>
    </r>
    <r>
      <rPr>
        <b val="true"/>
        <sz val="10"/>
        <color rgb="FF14191C"/>
        <rFont val="Noto Sans CJK SC"/>
        <family val="2"/>
      </rPr>
      <t xml:space="preserve">수</t>
    </r>
  </si>
  <si>
    <t xml:space="preserve">  └ 화면 있음</t>
  </si>
  <si>
    <r>
      <rPr>
        <b val="true"/>
        <sz val="10"/>
        <color rgb="FF14191C"/>
        <rFont val="Noto Sans CJK SC"/>
        <family val="2"/>
      </rPr>
      <t xml:space="preserve">  └ 화면 없음</t>
    </r>
    <r>
      <rPr>
        <b val="true"/>
        <sz val="10"/>
        <color rgb="FF14191C"/>
        <rFont val="맑은 고딕"/>
        <family val="0"/>
        <charset val="1"/>
      </rPr>
      <t xml:space="preserve">(API</t>
    </r>
    <r>
      <rPr>
        <b val="true"/>
        <sz val="10"/>
        <color rgb="FF14191C"/>
        <rFont val="Noto Sans CJK SC"/>
        <family val="2"/>
      </rPr>
      <t xml:space="preserve">만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</si>
  <si>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t xml:space="preserve">불변규칙 수</t>
  </si>
  <si>
    <r>
      <rPr>
        <b val="true"/>
        <sz val="10"/>
        <color rgb="FF14191C"/>
        <rFont val="맑은 고딕"/>
        <family val="0"/>
        <charset val="1"/>
      </rPr>
      <t xml:space="preserve">RFP </t>
    </r>
    <r>
      <rPr>
        <b val="true"/>
        <sz val="10"/>
        <color rgb="FF14191C"/>
        <rFont val="Noto Sans CJK SC"/>
        <family val="2"/>
      </rPr>
      <t xml:space="preserve">미구현 항목</t>
    </r>
  </si>
  <si>
    <r>
      <rPr>
        <b val="true"/>
        <sz val="10"/>
        <color rgb="FFFFFFFF"/>
        <rFont val="Noto Sans CJK SC"/>
        <family val="2"/>
      </rPr>
      <t xml:space="preserve">요구사항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</si>
  <si>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도메인</t>
  </si>
  <si>
    <t xml:space="preserve">구분</t>
  </si>
  <si>
    <t xml:space="preserve">내용</t>
  </si>
  <si>
    <t xml:space="preserve">상태</t>
  </si>
  <si>
    <t xml:space="preserve">화면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</si>
  <si>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검증</t>
    </r>
  </si>
  <si>
    <t xml:space="preserve">F01a</t>
  </si>
  <si>
    <t xml:space="preserve">권한관리</t>
  </si>
  <si>
    <t xml:space="preserve">원문 기능</t>
  </si>
  <si>
    <t xml:space="preserve">권한관리 기능은 관리자 계정에만 부여</t>
  </si>
  <si>
    <t xml:space="preserve">-</t>
  </si>
  <si>
    <t xml:space="preserve">F01b</t>
  </si>
  <si>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프로그램별 권한 설정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</si>
  <si>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F01c</t>
  </si>
  <si>
    <r>
      <rPr>
        <sz val="10"/>
        <color rgb="FF14191C"/>
        <rFont val="Noto Sans CJK SC"/>
        <family val="2"/>
      </rPr>
      <t xml:space="preserve">본사↔현장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현장↔이용자 간 별도 권한 관리</t>
    </r>
  </si>
  <si>
    <t xml:space="preserve">F01d</t>
  </si>
  <si>
    <t xml:space="preserve">퇴사 처리 이후 시스템 접근통제</t>
  </si>
  <si>
    <t xml:space="preserve">Q11</t>
  </si>
  <si>
    <t xml:space="preserve">원문 품질</t>
  </si>
  <si>
    <r>
      <rPr>
        <sz val="10"/>
        <color rgb="FF14191C"/>
        <rFont val="Noto Sans CJK SC"/>
        <family val="2"/>
      </rPr>
      <t xml:space="preserve">접근 통제가 그룹별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기능별로 구체적이어야 함</t>
    </r>
  </si>
  <si>
    <t xml:space="preserve">Q15</t>
  </si>
  <si>
    <r>
      <rPr>
        <sz val="10"/>
        <color rgb="FF14191C"/>
        <rFont val="Noto Sans CJK SC"/>
        <family val="2"/>
      </rPr>
      <t xml:space="preserve">사용자 권한에 따라 버튼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기능 제어</t>
    </r>
  </si>
  <si>
    <t xml:space="preserve">AUTH-C07</t>
  </si>
  <si>
    <t xml:space="preserve">원문 제약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</si>
  <si>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1</t>
    </r>
    <r>
      <rPr>
        <sz val="10"/>
        <color rgb="FF14191C"/>
        <rFont val="Noto Sans CJK SC"/>
        <family val="2"/>
      </rPr>
      <t xml:space="preserve">인 개발 일정상 엔터프라이즈급 </t>
    </r>
    <r>
      <rPr>
        <sz val="10"/>
        <color rgb="FF14191C"/>
        <rFont val="맑은 고딕"/>
        <family val="0"/>
        <charset val="1"/>
      </rPr>
      <t xml:space="preserve">ACL</t>
    </r>
    <r>
      <rPr>
        <sz val="10"/>
        <color rgb="FF14191C"/>
        <rFont val="Noto Sans CJK SC"/>
        <family val="2"/>
      </rPr>
      <t xml:space="preserve">을 만들 여유가 없다 — 아래 </t>
    </r>
    <r>
      <rPr>
        <sz val="10"/>
        <color rgb="FF14191C"/>
        <rFont val="맑은 고딕"/>
        <family val="0"/>
        <charset val="1"/>
      </rPr>
      <t xml:space="preserve">Driver 3</t>
    </r>
    <r>
      <rPr>
        <sz val="10"/>
        <color rgb="FF14191C"/>
        <rFont val="Noto Sans CJK SC"/>
        <family val="2"/>
      </rPr>
      <t xml:space="preserve">의 판단 근거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</si>
  <si>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AUTH-INV-01</t>
  </si>
  <si>
    <t xml:space="preserve">불변규칙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</si>
  <si>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 처리된 계정은 즉시 접근이 차단된다</t>
    </r>
    <r>
      <rPr>
        <sz val="10"/>
        <color rgb="FF14191C"/>
        <rFont val="맑은 고딕"/>
        <family val="0"/>
        <charset val="1"/>
      </rPr>
      <t xml:space="preserve">. (F01d, RFP </t>
    </r>
    <r>
      <rPr>
        <sz val="10"/>
        <color rgb="FF14191C"/>
        <rFont val="Noto Sans CJK SC"/>
        <family val="2"/>
      </rPr>
      <t xml:space="preserve">원문 그대로 —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몇 분까지는 봐준다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성립할 수 없는 성격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</si>
  <si>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구현</t>
  </si>
  <si>
    <t xml:space="preserve">auth-lifecycle·hr-authority·contract-termination·branch-isolation spec</t>
  </si>
  <si>
    <t xml:space="preserve">AUTH-INV-02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</si>
  <si>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변경은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</si>
  <si>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AUTH-INV-03</t>
  </si>
  <si>
    <r>
      <rPr>
        <sz val="10"/>
        <color rgb="FF14191C"/>
        <rFont val="맑은 고딕"/>
        <family val="0"/>
        <charset val="1"/>
      </rPr>
      <t xml:space="preserve">BRANCH_ADMIN·STAFF·MEMBER</t>
    </r>
    <r>
      <rPr>
        <sz val="10"/>
        <color rgb="FF14191C"/>
        <rFont val="Noto Sans CJK SC"/>
        <family val="2"/>
      </rPr>
      <t xml:space="preserve">는 자기 소속 범위를 벗어난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도메인은 이 규칙을 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구현하는 메커니즘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의 근원이다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</si>
  <si>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AUTH-FN-01</t>
  </si>
  <si>
    <t xml:space="preserve">기능</t>
  </si>
  <si>
    <r>
      <rPr>
        <sz val="10"/>
        <color rgb="FF14191C"/>
        <rFont val="Noto Sans CJK SC"/>
        <family val="2"/>
      </rPr>
      <t xml:space="preserve">이메일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비밀번호 로그인 — 액세스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리프레시 토큰 발급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비활성 계정 차단</t>
    </r>
  </si>
  <si>
    <t xml:space="preserve">있음</t>
  </si>
  <si>
    <t xml:space="preserve">POST /auth/login</t>
  </si>
  <si>
    <t xml:space="preserve">AUTH-FN-02</t>
  </si>
  <si>
    <t xml:space="preserve">로그아웃 — 리프레시 토큰 폐기</t>
  </si>
  <si>
    <t xml:space="preserve">POST /auth/logout</t>
  </si>
  <si>
    <t xml:space="preserve">AUTH-FN-03</t>
  </si>
  <si>
    <t xml:space="preserve">내 계정 정보</t>
  </si>
  <si>
    <t xml:space="preserve">GET /auth/me</t>
  </si>
  <si>
    <t xml:space="preserve">AUTH-FN-04</t>
  </si>
  <si>
    <t xml:space="preserve">비밀번호 변경</t>
  </si>
  <si>
    <t xml:space="preserve">없음</t>
  </si>
  <si>
    <t xml:space="preserve">PATCH /auth/password</t>
  </si>
  <si>
    <t xml:space="preserve">AUTH-FN-05</t>
  </si>
  <si>
    <r>
      <rPr>
        <sz val="10"/>
        <color rgb="FF14191C"/>
        <rFont val="Noto Sans CJK SC"/>
        <family val="2"/>
      </rPr>
      <t xml:space="preserve">리프레시 토큰으로 재발급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</si>
  <si>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/auth/refresh</t>
  </si>
  <si>
    <t xml:space="preserve">AUTH-FN-06</t>
  </si>
  <si>
    <r>
      <rPr>
        <sz val="10"/>
        <color rgb="FF14191C"/>
        <rFont val="Noto Sans CJK SC"/>
        <family val="2"/>
      </rPr>
      <t xml:space="preserve">직원 계정과 역할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</si>
  <si>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/permissions/staff</t>
  </si>
  <si>
    <t xml:space="preserve">AUTH-FN-07</t>
  </si>
  <si>
    <r>
      <rPr>
        <sz val="10"/>
        <color rgb="FF14191C"/>
        <rFont val="Noto Sans CJK SC"/>
        <family val="2"/>
      </rPr>
      <t xml:space="preserve">직원 역할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 ↔ 직원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</si>
  <si>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/permissions/staff/:staffId/role</t>
  </si>
  <si>
    <t xml:space="preserve">F02a</t>
  </si>
  <si>
    <t xml:space="preserve">인사정보관리</t>
  </si>
  <si>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별 인사관리 탭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코드 생성</t>
    </r>
  </si>
  <si>
    <t xml:space="preserve">F02b</t>
  </si>
  <si>
    <t xml:space="preserve">모든 인사기록 정보를 한 화면에서 조회</t>
  </si>
  <si>
    <t xml:space="preserve">F02c</t>
  </si>
  <si>
    <t xml:space="preserve">권한 부여 혹은 승인 시 수정 가능</t>
  </si>
  <si>
    <t xml:space="preserve">STF-C04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</si>
  <si>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승인 기반 수정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다단계 결재라인은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본인 신청→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§8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</si>
  <si>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STF-INV-01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</si>
  <si>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재배치는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도메인의 불변규칙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와 같은 원천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이 도메인은 그 실제 구현 지점이다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</si>
  <si>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staff-assignment·staff-write·hr-authority·integrity-helpers·branch-isolation spec</t>
  </si>
  <si>
    <t xml:space="preserve">STF-INV-02</t>
  </si>
  <si>
    <r>
      <rPr>
        <sz val="10"/>
        <color rgb="FF14191C"/>
        <rFont val="Noto Sans CJK SC"/>
        <family val="2"/>
      </rPr>
      <t xml:space="preserve">한 직원은 활성</t>
    </r>
    <r>
      <rPr>
        <sz val="10"/>
        <color rgb="FF14191C"/>
        <rFont val="맑은 고딕"/>
        <family val="0"/>
        <charset val="1"/>
      </rPr>
      <t xml:space="preserve">(endDate=null) StaffAssignment</t>
    </r>
    <r>
      <rPr>
        <sz val="10"/>
        <color rgb="FF14191C"/>
        <rFont val="Noto Sans CJK SC"/>
        <family val="2"/>
      </rPr>
      <t xml:space="preserve">가 항상 최대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건이어야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파견이 이 도메인의 핵심 모델인 이상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한 사람이 동시에 두 지점에 파견될 수는 없다는 건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</si>
  <si>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STF-INV-03</t>
  </si>
  <si>
    <r>
      <rPr>
        <sz val="10"/>
        <color rgb="FF14191C"/>
        <rFont val="Noto Sans CJK SC"/>
        <family val="2"/>
      </rPr>
      <t xml:space="preserve">퇴사 처리는 계정 비활성화와 분리될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권한관리 도메인 불변규칙 </t>
    </r>
    <r>
      <rPr>
        <sz val="10"/>
        <color rgb="FF14191C"/>
        <rFont val="맑은 고딕"/>
        <family val="0"/>
        <charset val="1"/>
      </rPr>
      <t xml:space="preserve">1 "</t>
    </r>
    <r>
      <rPr>
        <sz val="10"/>
        <color rgb="FF14191C"/>
        <rFont val="Noto Sans CJK SC"/>
        <family val="2"/>
      </rPr>
      <t xml:space="preserve">퇴사 즉시 접근 차단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트리거가 바로 이 도메인의 </t>
    </r>
    <r>
      <rPr>
        <sz val="10"/>
        <color rgb="FF14191C"/>
        <rFont val="맑은 고딕"/>
        <family val="0"/>
        <charset val="1"/>
      </rPr>
      <t xml:space="preserve">/resign</t>
    </r>
    <r>
      <rPr>
        <sz val="10"/>
        <color rgb="FF14191C"/>
        <rFont val="Noto Sans CJK SC"/>
        <family val="2"/>
      </rPr>
      <t xml:space="preserve">이다 — 두 도메인이 공유하는 불변식의 서로 다른 쪽 절반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</si>
  <si>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STF-FN-01</t>
  </si>
  <si>
    <r>
      <rPr>
        <sz val="10"/>
        <color rgb="FF14191C"/>
        <rFont val="Noto Sans CJK SC"/>
        <family val="2"/>
      </rPr>
      <t xml:space="preserve">직원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전체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 관리자는 자기 지점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</si>
  <si>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/staff</t>
  </si>
  <si>
    <t xml:space="preserve">STF-FN-02</t>
  </si>
  <si>
    <r>
      <rPr>
        <sz val="10"/>
        <color rgb="FF14191C"/>
        <rFont val="Noto Sans CJK SC"/>
        <family val="2"/>
      </rPr>
      <t xml:space="preserve">직원 채용 — 계정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첫 파견을 함께 생성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</si>
  <si>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</t>
  </si>
  <si>
    <t xml:space="preserve">STF-FN-03</t>
  </si>
  <si>
    <t xml:space="preserve">직원 상세</t>
  </si>
  <si>
    <t xml:space="preserve">GET /staff/:id</t>
  </si>
  <si>
    <t xml:space="preserve">STF-FN-04</t>
  </si>
  <si>
    <t xml:space="preserve">직원 정보 수정</t>
  </si>
  <si>
    <t xml:space="preserve">PATCH /staff/:id</t>
  </si>
  <si>
    <t xml:space="preserve">STF-FN-05</t>
  </si>
  <si>
    <t xml:space="preserve">파견 이력</t>
  </si>
  <si>
    <t xml:space="preserve">GET /staff/:id/assignments</t>
  </si>
  <si>
    <t xml:space="preserve">STF-FN-06</t>
  </si>
  <si>
    <r>
      <rPr>
        <sz val="10"/>
        <color rgb="FF14191C"/>
        <rFont val="Noto Sans CJK SC"/>
        <family val="2"/>
      </rPr>
      <t xml:space="preserve">파견 발령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옛 지점 담당 회원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</si>
  <si>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/staff/:id/assignments</t>
  </si>
  <si>
    <t xml:space="preserve">STF-FN-07</t>
  </si>
  <si>
    <r>
      <rPr>
        <sz val="10"/>
        <color rgb="FF14191C"/>
        <rFont val="Noto Sans CJK SC"/>
        <family val="2"/>
      </rPr>
      <t xml:space="preserve">퇴사 처리 — 계정 비활성화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종료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보존기한 재계산</t>
    </r>
  </si>
  <si>
    <t xml:space="preserve">PATCH /staff/:id/resign</t>
  </si>
  <si>
    <t xml:space="preserve">STF-FN-08</t>
  </si>
  <si>
    <t xml:space="preserve">내 직원 정보</t>
  </si>
  <si>
    <t xml:space="preserve">GET /staff/me</t>
  </si>
  <si>
    <t xml:space="preserve">F03a</t>
  </si>
  <si>
    <t xml:space="preserve">근태관리</t>
  </si>
  <si>
    <r>
      <rPr>
        <sz val="10"/>
        <color rgb="FF14191C"/>
        <rFont val="Noto Sans CJK SC"/>
        <family val="2"/>
      </rPr>
      <t xml:space="preserve">현장별 </t>
    </r>
    <r>
      <rPr>
        <sz val="10"/>
        <color rgb="FF14191C"/>
        <rFont val="맑은 고딕"/>
        <family val="0"/>
        <charset val="1"/>
      </rPr>
      <t xml:space="preserve">&gt; </t>
    </r>
    <r>
      <rPr>
        <sz val="10"/>
        <color rgb="FF14191C"/>
        <rFont val="Noto Sans CJK SC"/>
        <family val="2"/>
      </rPr>
      <t xml:space="preserve">개인별 근태 등록 관리</t>
    </r>
  </si>
  <si>
    <t xml:space="preserve">F03b</t>
  </si>
  <si>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기록 및 일수 관리</t>
    </r>
  </si>
  <si>
    <t xml:space="preserve">F03c</t>
  </si>
  <si>
    <t xml:space="preserve">업무일지 작성 관리</t>
  </si>
  <si>
    <t xml:space="preserve">ATT-C04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</si>
  <si>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다단계 연차 결재라인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정밀 법정 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회계연도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단순화했다</t>
    </r>
    <r>
      <rPr>
        <sz val="10"/>
        <color rgb="FF14191C"/>
        <rFont val="맑은 고딕"/>
        <family val="0"/>
        <charset val="1"/>
      </rPr>
      <t xml:space="preserve">(§0).</t>
    </r>
  </si>
  <si>
    <t xml:space="preserve">ATT-INV-01</t>
  </si>
  <si>
    <r>
      <rPr>
        <sz val="10"/>
        <color rgb="FF14191C"/>
        <rFont val="Noto Sans CJK SC"/>
        <family val="2"/>
      </rPr>
      <t xml:space="preserve">같은 직원이 같은 날짜에 두 번 체크인할 수 없다</t>
    </r>
    <r>
      <rPr>
        <sz val="10"/>
        <color rgb="FF14191C"/>
        <rFont val="맑은 고딕"/>
        <family val="0"/>
        <charset val="1"/>
      </rPr>
      <t xml:space="preserve">. (ALREADY_CHECKED_IN — 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레코드라는 데이터 모델 자체가 이걸 전제한다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</si>
  <si>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attendance-rules(</t>
    </r>
    <r>
      <rPr>
        <sz val="10"/>
        <color rgb="FF14191C"/>
        <rFont val="Noto Sans CJK SC"/>
        <family val="2"/>
      </rPr>
      <t xml:space="preserve">동시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동시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·KST </t>
    </r>
    <r>
      <rPr>
        <sz val="10"/>
        <color rgb="FF14191C"/>
        <rFont val="Noto Sans CJK SC"/>
        <family val="2"/>
      </rPr>
      <t xml:space="preserve">연차 연도</t>
    </r>
    <r>
      <rPr>
        <sz val="10"/>
        <color rgb="FF14191C"/>
        <rFont val="맑은 고딕"/>
        <family val="0"/>
        <charset val="1"/>
      </rPr>
      <t xml:space="preserve">)·attendance-absence·attendance-branch-snapshot·kst-date·branch-isolation spec</t>
    </r>
  </si>
  <si>
    <t xml:space="preserve">ATT-INV-02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</si>
  <si>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(ANNUAL) </t>
    </r>
    <r>
      <rPr>
        <sz val="10"/>
        <color rgb="FF14191C"/>
        <rFont val="Noto Sans CJK SC"/>
        <family val="2"/>
      </rPr>
      <t xml:space="preserve">승인 없이는 </t>
    </r>
    <r>
      <rPr>
        <sz val="10"/>
        <color rgb="FF14191C"/>
        <rFont val="맑은 고딕"/>
        <family val="0"/>
        <charset val="1"/>
      </rPr>
      <t xml:space="preserve">LeaveBalance.usedDays</t>
    </r>
    <r>
      <rPr>
        <sz val="10"/>
        <color rgb="FF14191C"/>
        <rFont val="Noto Sans CJK SC"/>
        <family val="2"/>
      </rPr>
      <t xml:space="preserve">가 줄어들지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신청만으로 차감되면 반려 시 복구 로직이 필요해지고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복구가 실패하는 경로가 곧 데이터 정합성 버그로 이어진다 — 협의 대상이 아니라 설계 원칙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</si>
  <si>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ATT-INV-03</t>
  </si>
  <si>
    <r>
      <rPr>
        <sz val="10"/>
        <color rgb="FF14191C"/>
        <rFont val="맑은 고딕"/>
        <family val="0"/>
        <charset val="1"/>
      </rPr>
      <t xml:space="preserve">BRANCH_ADMIN·STAFF</t>
    </r>
    <r>
      <rPr>
        <sz val="10"/>
        <color rgb="FF14191C"/>
        <rFont val="Noto Sans CJK SC"/>
        <family val="2"/>
      </rPr>
      <t xml:space="preserve">는 자기 소속 범위를 벗어난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</si>
  <si>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ATT-FN-01</t>
  </si>
  <si>
    <r>
      <rPr>
        <sz val="10"/>
        <color rgb="FF14191C"/>
        <rFont val="Noto Sans CJK SC"/>
        <family val="2"/>
      </rPr>
      <t xml:space="preserve">근태 기록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</si>
  <si>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</t>
  </si>
  <si>
    <t xml:space="preserve">ATT-FN-02</t>
  </si>
  <si>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관리자의 명시적 확정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</si>
  <si>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/attendance/absence-confirm</t>
  </si>
  <si>
    <t xml:space="preserve">ATT-FN-03</t>
  </si>
  <si>
    <r>
      <rPr>
        <sz val="10"/>
        <color rgb="FF14191C"/>
        <rFont val="Noto Sans CJK SC"/>
        <family val="2"/>
      </rPr>
      <t xml:space="preserve">결근 예정 미리보기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저장 안 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</si>
  <si>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/attendance/absence-preview</t>
  </si>
  <si>
    <t xml:space="preserve">ATT-FN-04</t>
  </si>
  <si>
    <r>
      <rPr>
        <sz val="10"/>
        <color rgb="FF14191C"/>
        <rFont val="Noto Sans CJK SC"/>
        <family val="2"/>
      </rPr>
      <t xml:space="preserve">출근 체크 —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지각 자동 판정</t>
    </r>
  </si>
  <si>
    <t xml:space="preserve">POST /attendance/check-in</t>
  </si>
  <si>
    <t xml:space="preserve">ATT-FN-05</t>
  </si>
  <si>
    <t xml:space="preserve">퇴근 체크</t>
  </si>
  <si>
    <t xml:space="preserve">POST /attendance/check-out</t>
  </si>
  <si>
    <t xml:space="preserve">ATT-FN-06</t>
  </si>
  <si>
    <t xml:space="preserve">지점 월별 근태 요약</t>
  </si>
  <si>
    <t xml:space="preserve">GET /attendance/summary</t>
  </si>
  <si>
    <t xml:space="preserve">ATT-FN-07</t>
  </si>
  <si>
    <t xml:space="preserve">휴가 신청 목록</t>
  </si>
  <si>
    <t xml:space="preserve">GET /leave-requests</t>
  </si>
  <si>
    <t xml:space="preserve">ATT-FN-08</t>
  </si>
  <si>
    <t xml:space="preserve">휴가 신청</t>
  </si>
  <si>
    <t xml:space="preserve">POST /leave-requests</t>
  </si>
  <si>
    <t xml:space="preserve">ATT-FN-09</t>
  </si>
  <si>
    <t xml:space="preserve">휴가 승인 — 승인 시점에 연차 차감</t>
  </si>
  <si>
    <t xml:space="preserve">PATCH /leave-requests/:id/approve</t>
  </si>
  <si>
    <t xml:space="preserve">ATT-FN-10</t>
  </si>
  <si>
    <t xml:space="preserve">휴가 반려</t>
  </si>
  <si>
    <t xml:space="preserve">PATCH /leave-requests/:id/reject</t>
  </si>
  <si>
    <t xml:space="preserve">ATT-FN-11</t>
  </si>
  <si>
    <t xml:space="preserve">연차 잔여 조회</t>
  </si>
  <si>
    <t xml:space="preserve">GET /leave-balance/:staffId</t>
  </si>
  <si>
    <t xml:space="preserve">ATT-FN-12</t>
  </si>
  <si>
    <t xml:space="preserve">업무일지 조회</t>
  </si>
  <si>
    <t xml:space="preserve">GET /work-logs</t>
  </si>
  <si>
    <t xml:space="preserve">ATT-FN-13</t>
  </si>
  <si>
    <r>
      <rPr>
        <sz val="10"/>
        <color rgb="FF14191C"/>
        <rFont val="Noto Sans CJK SC"/>
        <family val="2"/>
      </rPr>
      <t xml:space="preserve">업무일지 작성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</si>
  <si>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/work-logs</t>
  </si>
  <si>
    <t xml:space="preserve">F04a</t>
  </si>
  <si>
    <t xml:space="preserve">게시판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</si>
  <si>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(HQ_TO_BRANCH), </t>
    </r>
    <r>
      <rPr>
        <sz val="10"/>
        <color rgb="FF14191C"/>
        <rFont val="Noto Sans CJK SC"/>
        <family val="2"/>
      </rPr>
      <t xml:space="preserve">현장→이용자</t>
    </r>
    <r>
      <rPr>
        <sz val="10"/>
        <color rgb="FF14191C"/>
        <rFont val="맑은 고딕"/>
        <family val="0"/>
        <charset val="1"/>
      </rPr>
      <t xml:space="preserve">(BRANCH_TO_MEMBER) </t>
    </r>
    <r>
      <rPr>
        <sz val="10"/>
        <color rgb="FF14191C"/>
        <rFont val="Noto Sans CJK SC"/>
        <family val="2"/>
      </rPr>
      <t xml:space="preserve">별도 게시판</t>
    </r>
  </si>
  <si>
    <t xml:space="preserve">F04b</t>
  </si>
  <si>
    <r>
      <rPr>
        <sz val="10"/>
        <color rgb="FF14191C"/>
        <rFont val="Noto Sans CJK SC"/>
        <family val="2"/>
      </rPr>
      <t xml:space="preserve">본사→현장 게시판에 교육 매뉴얼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자료 탑재</t>
    </r>
  </si>
  <si>
    <t xml:space="preserve">F04c</t>
  </si>
  <si>
    <r>
      <rPr>
        <sz val="10"/>
        <color rgb="FF14191C"/>
        <rFont val="Noto Sans CJK SC"/>
        <family val="2"/>
      </rPr>
      <t xml:space="preserve">팀장급 직원 대상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회 이상 대면 교육 실적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4 </t>
    </r>
    <r>
      <rPr>
        <sz val="10"/>
        <color rgb="FF14191C"/>
        <rFont val="Noto Sans CJK SC"/>
        <family val="2"/>
      </rPr>
      <t xml:space="preserve">근거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</si>
  <si>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BRD-C04</t>
  </si>
  <si>
    <r>
      <rPr>
        <sz val="10"/>
        <color rgb="FF14191C"/>
        <rFont val="Noto Sans CJK SC"/>
        <family val="2"/>
      </rPr>
      <t xml:space="preserve">첨부파일 실제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확장자 검증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이번 범위에서 제외 — 부록 </t>
    </r>
    <r>
      <rPr>
        <sz val="10"/>
        <color rgb="FF14191C"/>
        <rFont val="맑은 고딕"/>
        <family val="0"/>
        <charset val="1"/>
      </rPr>
      <t xml:space="preserve">A-8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문서관리</t>
    </r>
    <r>
      <rPr>
        <sz val="10"/>
        <color rgb="FF14191C"/>
        <rFont val="맑은 고딕"/>
        <family val="0"/>
        <charset val="1"/>
      </rPr>
      <t xml:space="preserve">(1-10)</t>
    </r>
    <r>
      <rPr>
        <sz val="10"/>
        <color rgb="FF14191C"/>
        <rFont val="Noto Sans CJK SC"/>
        <family val="2"/>
      </rPr>
      <t xml:space="preserve">와 동일하게 </t>
    </r>
    <r>
      <rPr>
        <sz val="10"/>
        <color rgb="FF14191C"/>
        <rFont val="맑은 고딕"/>
        <family val="0"/>
        <charset val="1"/>
      </rPr>
      <t xml:space="preserve">URL </t>
    </r>
    <r>
      <rPr>
        <sz val="10"/>
        <color rgb="FF14191C"/>
        <rFont val="Noto Sans CJK SC"/>
        <family val="2"/>
      </rPr>
      <t xml:space="preserve">방식으로 대체 가능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</si>
  <si>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BRD-INV-01</t>
  </si>
  <si>
    <r>
      <rPr>
        <sz val="10"/>
        <color rgb="FF14191C"/>
        <rFont val="맑은 고딕"/>
        <family val="0"/>
        <charset val="1"/>
      </rPr>
      <t xml:space="preserve">BRANCH_TO_MEMBER </t>
    </r>
    <r>
      <rPr>
        <sz val="10"/>
        <color rgb="FF14191C"/>
        <rFont val="Noto Sans CJK SC"/>
        <family val="2"/>
      </rPr>
      <t xml:space="preserve">게시글은 작성 지점 회원에게만 노출된다</t>
    </r>
    <r>
      <rPr>
        <sz val="10"/>
        <color rgb="FF14191C"/>
        <rFont val="맑은 고딕"/>
        <family val="0"/>
        <charset val="1"/>
      </rPr>
      <t xml:space="preserve">. (CLAUDE.md </t>
    </r>
    <r>
      <rPr>
        <sz val="10"/>
        <color rgb="FF14191C"/>
        <rFont val="Noto Sans CJK SC"/>
        <family val="2"/>
      </rPr>
      <t xml:space="preserve">지점 데이터 격리 정신의 연장 — 타 지점 공지가 새어나가면 안 됨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</si>
  <si>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post-rules(</t>
    </r>
    <r>
      <rPr>
        <sz val="10"/>
        <color rgb="FF14191C"/>
        <rFont val="Noto Sans CJK SC"/>
        <family val="2"/>
      </rPr>
      <t xml:space="preserve">동시 조회수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 권한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작성 범위</t>
    </r>
    <r>
      <rPr>
        <sz val="10"/>
        <color rgb="FF14191C"/>
        <rFont val="맑은 고딕"/>
        <family val="0"/>
        <charset val="1"/>
      </rPr>
      <t xml:space="preserve">)·posts-member-visibility·contract-termination·branch-isolation spec</t>
    </r>
  </si>
  <si>
    <t xml:space="preserve">BRD-INV-02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</si>
  <si>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(Role=MEMBER)</t>
    </r>
    <r>
      <rPr>
        <sz val="10"/>
        <color rgb="FF14191C"/>
        <rFont val="Noto Sans CJK SC"/>
        <family val="2"/>
      </rPr>
      <t xml:space="preserve">은 직원 대상 내부 공지를 볼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A-7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"HQ </t>
    </r>
    <r>
      <rPr>
        <sz val="10"/>
        <color rgb="FF14191C"/>
        <rFont val="Noto Sans CJK SC"/>
        <family val="2"/>
      </rPr>
      <t xml:space="preserve">공지는 기본적으로 직원 대상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회원에게는 비공개가 기본값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이라고 명시 — 협의 대상이 아니라 이미 확정된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</si>
  <si>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BRD-FN-01</t>
  </si>
  <si>
    <r>
      <rPr>
        <sz val="10"/>
        <color rgb="FF14191C"/>
        <rFont val="Noto Sans CJK SC"/>
        <family val="2"/>
      </rPr>
      <t xml:space="preserve">게시글 목록 — 범위별 권한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 공개 필터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페이지네이션</t>
    </r>
  </si>
  <si>
    <t xml:space="preserve">GET /posts</t>
  </si>
  <si>
    <t xml:space="preserve">BRD-FN-02</t>
  </si>
  <si>
    <t xml:space="preserve">게시글 작성 — 계약 종료 지점 차단</t>
  </si>
  <si>
    <t xml:space="preserve">POST /posts</t>
  </si>
  <si>
    <t xml:space="preserve">BRD-FN-03</t>
  </si>
  <si>
    <r>
      <rPr>
        <sz val="10"/>
        <color rgb="FF14191C"/>
        <rFont val="Noto Sans CJK SC"/>
        <family val="2"/>
      </rPr>
      <t xml:space="preserve">게시글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작성자 또는 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</si>
  <si>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/posts/:id</t>
  </si>
  <si>
    <t xml:space="preserve">BRD-FN-04</t>
  </si>
  <si>
    <t xml:space="preserve">게시글 상세 — 조회수 증가</t>
  </si>
  <si>
    <t xml:space="preserve">GET /posts/:id</t>
  </si>
  <si>
    <t xml:space="preserve">BRD-FN-05</t>
  </si>
  <si>
    <r>
      <rPr>
        <sz val="10"/>
        <color rgb="FF14191C"/>
        <rFont val="Noto Sans CJK SC"/>
        <family val="2"/>
      </rPr>
      <t xml:space="preserve">게시글 수정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작성자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</si>
  <si>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/posts/:id</t>
  </si>
  <si>
    <t xml:space="preserve">F05a</t>
  </si>
  <si>
    <t xml:space="preserve">회원관리</t>
  </si>
  <si>
    <r>
      <rPr>
        <sz val="10"/>
        <color rgb="FF14191C"/>
        <rFont val="Noto Sans CJK SC"/>
        <family val="2"/>
      </rPr>
      <t xml:space="preserve">각 현장별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</t>
    </r>
  </si>
  <si>
    <t xml:space="preserve">F05b</t>
  </si>
  <si>
    <r>
      <rPr>
        <sz val="10"/>
        <color rgb="FF14191C"/>
        <rFont val="Noto Sans CJK SC"/>
        <family val="2"/>
      </rPr>
      <t xml:space="preserve">현장관리자는 해당 현장 회원정보만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현장 조회 불가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</si>
  <si>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Q10</t>
  </si>
  <si>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등 개인정보가 별도 절차 없이 노출되지 않음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마스킹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</si>
  <si>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MEM-C05</t>
  </si>
  <si>
    <r>
      <rPr>
        <sz val="10"/>
        <color rgb="FF14191C"/>
        <rFont val="맑은 고딕"/>
        <family val="0"/>
        <charset val="1"/>
      </rPr>
      <t xml:space="preserve">C03(</t>
    </r>
    <r>
      <rPr>
        <sz val="10"/>
        <color rgb="FF14191C"/>
        <rFont val="Noto Sans CJK SC"/>
        <family val="2"/>
      </rPr>
      <t xml:space="preserve">개인정보보호법 제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직접 제약</t>
    </r>
    <r>
      <rPr>
        <sz val="10"/>
        <color rgb="FF14191C"/>
        <rFont val="맑은 고딕"/>
        <family val="0"/>
        <charset val="1"/>
      </rPr>
      <t xml:space="preserve">: Member</t>
    </r>
    <r>
      <rPr>
        <sz val="10"/>
        <color rgb="FF14191C"/>
        <rFont val="Noto Sans CJK SC"/>
        <family val="2"/>
      </rPr>
      <t xml:space="preserve">는 이 법이 다루는 개인정보 그 자체이고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지점 위탁관계 하에서 처리된다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</si>
  <si>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MEM-INV-01</t>
  </si>
  <si>
    <r>
      <rPr>
        <sz val="10"/>
        <color rgb="FF14191C"/>
        <rFont val="맑은 고딕"/>
        <family val="0"/>
        <charset val="1"/>
      </rPr>
      <t xml:space="preserve">BRANCH_ADMIN·MEMBER</t>
    </r>
    <r>
      <rPr>
        <sz val="10"/>
        <color rgb="FF14191C"/>
        <rFont val="Noto Sans CJK SC"/>
        <family val="2"/>
      </rPr>
      <t xml:space="preserve">는 자기 소속 범위를 벗어난 회원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F05b </t>
    </r>
    <r>
      <rPr>
        <sz val="10"/>
        <color rgb="FF14191C"/>
        <rFont val="Noto Sans CJK SC"/>
        <family val="2"/>
      </rPr>
      <t xml:space="preserve">원문이 괄호로 강조한 그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</si>
  <si>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member-register·member-link·member-detail-summary·members-validation·contract-termination·branch-isolation spec</t>
  </si>
  <si>
    <t xml:space="preserve">MEM-INV-02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</si>
  <si>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회원을 등록할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</si>
  <si>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MEM-INV-03</t>
  </si>
  <si>
    <r>
      <rPr>
        <sz val="10"/>
        <color rgb="FF14191C"/>
        <rFont val="Noto Sans CJK SC"/>
        <family val="2"/>
      </rPr>
      <t xml:space="preserve">만 </t>
    </r>
    <r>
      <rPr>
        <sz val="10"/>
        <color rgb="FF14191C"/>
        <rFont val="맑은 고딕"/>
        <family val="0"/>
        <charset val="1"/>
      </rPr>
      <t xml:space="preserve">19</t>
    </r>
    <r>
      <rPr>
        <sz val="10"/>
        <color rgb="FF14191C"/>
        <rFont val="Noto Sans CJK SC"/>
        <family val="2"/>
      </rPr>
      <t xml:space="preserve">세 미만 회원은 법정대리인 동의 없이 등록될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민법상 미성년자 단독 계약 취소가능성 — </t>
    </r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아니라 법이 정한 것이라 협의 대상이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</si>
  <si>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MEM-FN-01</t>
  </si>
  <si>
    <r>
      <rPr>
        <sz val="10"/>
        <color rgb="FF14191C"/>
        <rFont val="Noto Sans CJK SC"/>
        <family val="2"/>
      </rPr>
      <t xml:space="preserve">회원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범위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</si>
  <si>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</t>
  </si>
  <si>
    <t xml:space="preserve">MEM-FN-02</t>
  </si>
  <si>
    <r>
      <rPr>
        <sz val="10"/>
        <color rgb="FF14191C"/>
        <rFont val="Noto Sans CJK SC"/>
        <family val="2"/>
      </rPr>
      <t xml:space="preserve">회원 등록 — 미성년 보호자 동의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</si>
  <si>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/members</t>
  </si>
  <si>
    <t xml:space="preserve">MEM-FN-03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</si>
  <si>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요약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·PT·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</si>
  <si>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/members/:id</t>
  </si>
  <si>
    <t xml:space="preserve">MEM-FN-04</t>
  </si>
  <si>
    <t xml:space="preserve">회원 정보 수정</t>
  </si>
  <si>
    <t xml:space="preserve">PATCH /members/:id</t>
  </si>
  <si>
    <t xml:space="preserve">MEM-FN-05</t>
  </si>
  <si>
    <t xml:space="preserve">수강 내역</t>
  </si>
  <si>
    <t xml:space="preserve">GET /members/:id/enrollments</t>
  </si>
  <si>
    <t xml:space="preserve">MEM-FN-06</t>
  </si>
  <si>
    <t xml:space="preserve">수강 등록</t>
  </si>
  <si>
    <t xml:space="preserve">POST /members/:id/enrollments</t>
  </si>
  <si>
    <t xml:space="preserve">MEM-FN-07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</si>
  <si>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목록</t>
    </r>
  </si>
  <si>
    <t xml:space="preserve">GET /members/:id/pt-sessions</t>
  </si>
  <si>
    <t xml:space="preserve">MEM-FN-08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</si>
  <si>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등록</t>
    </r>
  </si>
  <si>
    <t xml:space="preserve">POST /members/:id/pt-sessions</t>
  </si>
  <si>
    <t xml:space="preserve">MEM-FN-09</t>
  </si>
  <si>
    <r>
      <rPr>
        <sz val="10"/>
        <color rgb="FF14191C"/>
        <rFont val="맑은 고딕"/>
        <family val="0"/>
        <charset val="1"/>
      </rPr>
      <t xml:space="preserve">PT 1</t>
    </r>
    <r>
      <rPr>
        <sz val="10"/>
        <color rgb="FF14191C"/>
        <rFont val="Noto Sans CJK SC"/>
        <family val="2"/>
      </rPr>
      <t xml:space="preserve">회 차감</t>
    </r>
  </si>
  <si>
    <t xml:space="preserve">POST /members/:id/pt-sessions/:sessionId/use</t>
  </si>
  <si>
    <t xml:space="preserve">MEM-FN-10</t>
  </si>
  <si>
    <r>
      <rPr>
        <sz val="10"/>
        <color rgb="FF14191C"/>
        <rFont val="Noto Sans CJK SC"/>
        <family val="2"/>
      </rPr>
      <t xml:space="preserve">회원 상태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</si>
  <si>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/members/:id/status</t>
  </si>
  <si>
    <t xml:space="preserve">MEM-FN-11</t>
  </si>
  <si>
    <r>
      <rPr>
        <sz val="10"/>
        <color rgb="FF14191C"/>
        <rFont val="Noto Sans CJK SC"/>
        <family val="2"/>
      </rPr>
      <t xml:space="preserve">오프라인 회원 ↔ 앱 계정 연동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시도 제한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앱 범위 제외로 화면 없음</t>
    </r>
  </si>
  <si>
    <t xml:space="preserve">POST /members/link</t>
  </si>
  <si>
    <t xml:space="preserve">MEM-FN-12</t>
  </si>
  <si>
    <r>
      <rPr>
        <sz val="10"/>
        <color rgb="FF14191C"/>
        <rFont val="Noto Sans CJK SC"/>
        <family val="2"/>
      </rPr>
      <t xml:space="preserve">회원 앱 자체 가입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앱 범위 제외로 화면 없음</t>
    </r>
  </si>
  <si>
    <t xml:space="preserve">POST /members/register</t>
  </si>
  <si>
    <t xml:space="preserve">F06a</t>
  </si>
  <si>
    <t xml:space="preserve">예약및결제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</si>
  <si>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정보 게시 후 프로그램별 예약</t>
    </r>
  </si>
  <si>
    <t xml:space="preserve">F06b</t>
  </si>
  <si>
    <t xml:space="preserve">모바일 결제 기능</t>
  </si>
  <si>
    <t xml:space="preserve">F06c</t>
  </si>
  <si>
    <r>
      <rPr>
        <sz val="10"/>
        <color rgb="FF14191C"/>
        <rFont val="Noto Sans CJK SC"/>
        <family val="2"/>
      </rPr>
      <t xml:space="preserve">결제내역 처리방법</t>
    </r>
    <r>
      <rPr>
        <sz val="10"/>
        <color rgb="FF14191C"/>
        <rFont val="맑은 고딕"/>
        <family val="0"/>
        <charset val="1"/>
      </rPr>
      <t xml:space="preserve">(RFP </t>
    </r>
    <r>
      <rPr>
        <sz val="10"/>
        <color rgb="FF14191C"/>
        <rFont val="Noto Sans CJK SC"/>
        <family val="2"/>
      </rPr>
      <t xml:space="preserve">원문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추후 논의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</si>
  <si>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Q20</t>
  </si>
  <si>
    <r>
      <rPr>
        <sz val="10"/>
        <color rgb="FF14191C"/>
        <rFont val="Noto Sans CJK SC"/>
        <family val="2"/>
      </rPr>
      <t xml:space="preserve">결제시스템은 금융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보안기관 시스템에 연계 가능 여부 확인</t>
    </r>
  </si>
  <si>
    <t xml:space="preserve">RSV-C05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</si>
  <si>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)·</t>
    </r>
    <r>
      <rPr>
        <sz val="10"/>
        <color rgb="FF14191C"/>
        <rFont val="Noto Sans CJK SC"/>
        <family val="2"/>
      </rPr>
      <t xml:space="preserve">인프라 부재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스케줄러가 없어 </t>
    </r>
    <r>
      <rPr>
        <sz val="10"/>
        <color rgb="FF14191C"/>
        <rFont val="맑은 고딕"/>
        <family val="0"/>
        <charset val="1"/>
      </rPr>
      <t xml:space="preserve">"5</t>
    </r>
    <r>
      <rPr>
        <sz val="10"/>
        <color rgb="FF14191C"/>
        <rFont val="Noto Sans CJK SC"/>
        <family val="2"/>
      </rPr>
      <t xml:space="preserve">분 결제 미완료 자동취소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범위 제외</t>
    </r>
    <r>
      <rPr>
        <sz val="10"/>
        <color rgb="FF14191C"/>
        <rFont val="맑은 고딕"/>
        <family val="0"/>
        <charset val="1"/>
      </rPr>
      <t xml:space="preserve">(§8).</t>
    </r>
  </si>
  <si>
    <t xml:space="preserve">RSV-INV-01</t>
  </si>
  <si>
    <r>
      <rPr>
        <sz val="10"/>
        <color rgb="FF14191C"/>
        <rFont val="Noto Sans CJK SC"/>
        <family val="2"/>
      </rPr>
      <t xml:space="preserve">동일 회차의 정원을 초과해 예약이 확정될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영상의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동일 좌석 중복판매 금지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와 완전히 같은 성격 — 몇 건이 초과되는 것도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</si>
  <si>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reservation-capacity(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동시성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이중 승인</t>
    </r>
    <r>
      <rPr>
        <sz val="10"/>
        <color rgb="FF14191C"/>
        <rFont val="맑은 고딕"/>
        <family val="0"/>
        <charset val="1"/>
      </rPr>
      <t xml:space="preserve">)·catalog-flow·contract-termination·branch-isolation spec</t>
    </r>
  </si>
  <si>
    <t xml:space="preserve">RSV-INV-02</t>
  </si>
  <si>
    <r>
      <rPr>
        <sz val="10"/>
        <color rgb="FF14191C"/>
        <rFont val="Noto Sans CJK SC"/>
        <family val="2"/>
      </rPr>
      <t xml:space="preserve">동일 회원이 같은 회차에 활성</t>
    </r>
    <r>
      <rPr>
        <sz val="10"/>
        <color rgb="FF14191C"/>
        <rFont val="맑은 고딕"/>
        <family val="0"/>
        <charset val="1"/>
      </rPr>
      <t xml:space="preserve">(REQUESTED/CONFIRMED) </t>
    </r>
    <r>
      <rPr>
        <sz val="10"/>
        <color rgb="FF14191C"/>
        <rFont val="Noto Sans CJK SC"/>
        <family val="2"/>
      </rPr>
      <t xml:space="preserve">예약을 중복으로 가질 수 없다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</si>
  <si>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RSV-INV-03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</si>
  <si>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예약이 생성될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</si>
  <si>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RSV-INV-04</t>
  </si>
  <si>
    <r>
      <rPr>
        <sz val="10"/>
        <color rgb="FF14191C"/>
        <rFont val="Noto Sans CJK SC"/>
        <family val="2"/>
      </rPr>
      <t xml:space="preserve">결제 금액은 클라이언트가 아니라 서버가 </t>
    </r>
    <r>
      <rPr>
        <sz val="10"/>
        <color rgb="FF14191C"/>
        <rFont val="맑은 고딕"/>
        <family val="0"/>
        <charset val="1"/>
      </rPr>
      <t xml:space="preserve">Program </t>
    </r>
    <r>
      <rPr>
        <sz val="10"/>
        <color rgb="FF14191C"/>
        <rFont val="Noto Sans CJK SC"/>
        <family val="2"/>
      </rPr>
      <t xml:space="preserve">가격을 재조회해 결정한다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기본적인 결제 보안 원칙 — 협의 대상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</si>
  <si>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RSV-FN-01</t>
  </si>
  <si>
    <r>
      <rPr>
        <sz val="10"/>
        <color rgb="FF14191C"/>
        <rFont val="Noto Sans CJK SC"/>
        <family val="2"/>
      </rPr>
      <t xml:space="preserve">예약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</si>
  <si>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/reservations</t>
  </si>
  <si>
    <t xml:space="preserve">RSV-FN-02</t>
  </si>
  <si>
    <r>
      <rPr>
        <sz val="10"/>
        <color rgb="FF14191C"/>
        <rFont val="Noto Sans CJK SC"/>
        <family val="2"/>
      </rPr>
      <t xml:space="preserve">회차 예약 — 회차 잠금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중복 확인</t>
    </r>
  </si>
  <si>
    <t xml:space="preserve">POST /reservations</t>
  </si>
  <si>
    <t xml:space="preserve">RSV-FN-03</t>
  </si>
  <si>
    <t xml:space="preserve">예약 취소 — 마감 전이면 환불</t>
  </si>
  <si>
    <t xml:space="preserve">PATCH /reservations/:id/cancel</t>
  </si>
  <si>
    <t xml:space="preserve">RSV-FN-04</t>
  </si>
  <si>
    <r>
      <rPr>
        <sz val="10"/>
        <color rgb="FF14191C"/>
        <rFont val="Noto Sans CJK SC"/>
        <family val="2"/>
      </rPr>
      <t xml:space="preserve">현장 체크인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완료 처리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</si>
  <si>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/reservations/:id/check-in</t>
  </si>
  <si>
    <t xml:space="preserve">RSV-FN-05</t>
  </si>
  <si>
    <r>
      <rPr>
        <sz val="10"/>
        <color rgb="FF14191C"/>
        <rFont val="Noto Sans CJK SC"/>
        <family val="2"/>
      </rPr>
      <t xml:space="preserve">결제 내역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</si>
  <si>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/payments</t>
  </si>
  <si>
    <t xml:space="preserve">RSV-FN-06</t>
  </si>
  <si>
    <r>
      <rPr>
        <sz val="10"/>
        <color rgb="FF14191C"/>
        <rFont val="Noto Sans CJK SC"/>
        <family val="2"/>
      </rPr>
      <t xml:space="preserve">모의 결제 승인 → 예약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대기일 때 한 번만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</si>
  <si>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/payments/:reservationId/mock-pay</t>
  </si>
  <si>
    <t xml:space="preserve">F07a</t>
  </si>
  <si>
    <t xml:space="preserve">강사프로그램게시</t>
  </si>
  <si>
    <r>
      <rPr>
        <sz val="10"/>
        <color rgb="FF14191C"/>
        <rFont val="Noto Sans CJK SC"/>
        <family val="2"/>
      </rPr>
      <t xml:space="preserve">각 현장의 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</t>
    </r>
  </si>
  <si>
    <t xml:space="preserve">F07b</t>
  </si>
  <si>
    <r>
      <rPr>
        <sz val="10"/>
        <color rgb="FF14191C"/>
        <rFont val="Noto Sans CJK SC"/>
        <family val="2"/>
      </rPr>
      <t xml:space="preserve">종목별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프로그램 리스트 게시</t>
    </r>
  </si>
  <si>
    <t xml:space="preserve">PRG-C03</t>
  </si>
  <si>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인 개발 부담이 크지 않다고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판단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</si>
  <si>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PRG-INV-01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</si>
  <si>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</si>
  <si>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program-integrity·catalog-flow·branch-isolation spec</t>
  </si>
  <si>
    <t xml:space="preserve">PRG-INV-02</t>
  </si>
  <si>
    <r>
      <rPr>
        <sz val="10"/>
        <color rgb="FF14191C"/>
        <rFont val="맑은 고딕"/>
        <family val="0"/>
        <charset val="1"/>
      </rPr>
      <t xml:space="preserve">§3-2 </t>
    </r>
    <r>
      <rPr>
        <sz val="10"/>
        <color rgb="FF14191C"/>
        <rFont val="Noto Sans CJK SC"/>
        <family val="2"/>
      </rPr>
      <t xml:space="preserve">표에 없는 프로그램 상태 전이는 성립하지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ENDED</t>
    </r>
    <r>
      <rPr>
        <sz val="10"/>
        <color rgb="FF14191C"/>
        <rFont val="Noto Sans CJK SC"/>
        <family val="2"/>
      </rPr>
      <t xml:space="preserve">에서 되돌아가는 전이는 없음 — 생애주기의 종결이라는 의미 자체가 깨짐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</si>
  <si>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PRG-FN-01</t>
  </si>
  <si>
    <t xml:space="preserve">프로그램 목록</t>
  </si>
  <si>
    <t xml:space="preserve">GET /programs</t>
  </si>
  <si>
    <t xml:space="preserve">PRG-FN-02</t>
  </si>
  <si>
    <t xml:space="preserve">프로그램 등록</t>
  </si>
  <si>
    <t xml:space="preserve">POST /programs</t>
  </si>
  <si>
    <t xml:space="preserve">PRG-FN-03</t>
  </si>
  <si>
    <r>
      <rPr>
        <sz val="10"/>
        <color rgb="FF14191C"/>
        <rFont val="Noto Sans CJK SC"/>
        <family val="2"/>
      </rPr>
      <t xml:space="preserve">프로그램 종료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</si>
  <si>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/programs/:id</t>
  </si>
  <si>
    <t xml:space="preserve">PRG-FN-04</t>
  </si>
  <si>
    <t xml:space="preserve">프로그램 수정</t>
  </si>
  <si>
    <t xml:space="preserve">PATCH /programs/:id</t>
  </si>
  <si>
    <t xml:space="preserve">PRG-FN-05</t>
  </si>
  <si>
    <r>
      <rPr>
        <sz val="10"/>
        <color rgb="FF14191C"/>
        <rFont val="Noto Sans CJK SC"/>
        <family val="2"/>
      </rPr>
      <t xml:space="preserve">회차 목록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잔여 좌석</t>
    </r>
  </si>
  <si>
    <t xml:space="preserve">GET /programs/:id/slots</t>
  </si>
  <si>
    <t xml:space="preserve">PRG-FN-06</t>
  </si>
  <si>
    <t xml:space="preserve">회차 등록</t>
  </si>
  <si>
    <t xml:space="preserve">POST /programs/:id/slots</t>
  </si>
  <si>
    <t xml:space="preserve">PRG-FN-07</t>
  </si>
  <si>
    <r>
      <rPr>
        <sz val="10"/>
        <color rgb="FF14191C"/>
        <rFont val="Noto Sans CJK SC"/>
        <family val="2"/>
      </rPr>
      <t xml:space="preserve">프로그램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영향받는 예약 반환</t>
    </r>
  </si>
  <si>
    <t xml:space="preserve">PATCH /programs/:id/status</t>
  </si>
  <si>
    <t xml:space="preserve">PRG-FN-08</t>
  </si>
  <si>
    <t xml:space="preserve">강사 목록</t>
  </si>
  <si>
    <t xml:space="preserve">GET /instructors</t>
  </si>
  <si>
    <t xml:space="preserve">PRG-FN-09</t>
  </si>
  <si>
    <t xml:space="preserve">강사 등록</t>
  </si>
  <si>
    <t xml:space="preserve">POST /instructors</t>
  </si>
  <si>
    <t xml:space="preserve">PRG-FN-10</t>
  </si>
  <si>
    <t xml:space="preserve">강사 비활성화</t>
  </si>
  <si>
    <t xml:space="preserve">DELETE /instructors/:id</t>
  </si>
  <si>
    <t xml:space="preserve">PRG-FN-11</t>
  </si>
  <si>
    <t xml:space="preserve">강사 수정</t>
  </si>
  <si>
    <t xml:space="preserve">PATCH /instructors/:id</t>
  </si>
  <si>
    <t xml:space="preserve">PRG-FN-12</t>
  </si>
  <si>
    <t xml:space="preserve">지점별 프로그램 상태 요약</t>
  </si>
  <si>
    <t xml:space="preserve">GET /branches/:branchId/programs/summary</t>
  </si>
  <si>
    <t xml:space="preserve">F08a</t>
  </si>
  <si>
    <t xml:space="preserve">혼잡도관리</t>
  </si>
  <si>
    <r>
      <rPr>
        <sz val="10"/>
        <color rgb="FF14191C"/>
        <rFont val="Noto Sans CJK SC"/>
        <family val="2"/>
      </rPr>
      <t xml:space="preserve">시설별 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혼잡도를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개 항목으로 나눠 게시</t>
    </r>
  </si>
  <si>
    <t xml:space="preserve">F08b</t>
  </si>
  <si>
    <r>
      <rPr>
        <sz val="10"/>
        <color rgb="FF14191C"/>
        <rFont val="Noto Sans CJK SC"/>
        <family val="2"/>
      </rPr>
      <t xml:space="preserve">실시간 혹은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이용현황 반영</t>
    </r>
  </si>
  <si>
    <t xml:space="preserve">FAC-C03</t>
  </si>
  <si>
    <r>
      <rPr>
        <sz val="10"/>
        <color rgb="FF14191C"/>
        <rFont val="Noto Sans CJK SC"/>
        <family val="2"/>
      </rPr>
      <t xml:space="preserve">하드웨어</t>
    </r>
    <r>
      <rPr>
        <sz val="10"/>
        <color rgb="FF14191C"/>
        <rFont val="맑은 고딕"/>
        <family val="0"/>
        <charset val="1"/>
      </rPr>
      <t xml:space="preserve">(IoT </t>
    </r>
    <r>
      <rPr>
        <sz val="10"/>
        <color rgb="FF14191C"/>
        <rFont val="Noto Sans CJK SC"/>
        <family val="2"/>
      </rPr>
      <t xml:space="preserve">센서</t>
    </r>
    <r>
      <rPr>
        <sz val="10"/>
        <color rgb="FF14191C"/>
        <rFont val="맑은 고딕"/>
        <family val="0"/>
        <charset val="1"/>
      </rPr>
      <t xml:space="preserve">·CCTV) </t>
    </r>
    <r>
      <rPr>
        <sz val="10"/>
        <color rgb="FF14191C"/>
        <rFont val="Noto Sans CJK SC"/>
        <family val="2"/>
      </rPr>
      <t xml:space="preserve">기반 계측 불가 —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</si>
  <si>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FAC-C04</t>
  </si>
  <si>
    <r>
      <rPr>
        <sz val="10"/>
        <color rgb="FF14191C"/>
        <rFont val="Noto Sans CJK SC"/>
        <family val="2"/>
      </rPr>
      <t xml:space="preserve">스케줄러 인프라 없음</t>
    </r>
    <r>
      <rPr>
        <sz val="10"/>
        <color rgb="FF14191C"/>
        <rFont val="맑은 고딕"/>
        <family val="0"/>
        <charset val="1"/>
      </rPr>
      <t xml:space="preserve">(Phase 2 QR·</t>
    </r>
    <r>
      <rPr>
        <sz val="10"/>
        <color rgb="FF14191C"/>
        <rFont val="Noto Sans CJK SC"/>
        <family val="2"/>
      </rPr>
      <t xml:space="preserve">자동계산이 이 제약으로 범위 제외됨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</si>
  <si>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FAC-INV-01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</si>
  <si>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시설만 관리한다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</si>
  <si>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facility-lifecycle·catalog-flow·contract-termination·branch-isolation spec</t>
  </si>
  <si>
    <t xml:space="preserve">FAC-INV-02</t>
  </si>
  <si>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(capacity)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0</t>
    </r>
    <r>
      <rPr>
        <sz val="10"/>
        <color rgb="FF14191C"/>
        <rFont val="Noto Sans CJK SC"/>
        <family val="2"/>
      </rPr>
      <t xml:space="preserve">이 될 수 없다</t>
    </r>
    <r>
      <rPr>
        <sz val="10"/>
        <color rgb="FF14191C"/>
        <rFont val="맑은 고딕"/>
        <family val="0"/>
        <charset val="1"/>
      </rPr>
      <t xml:space="preserve">. (0</t>
    </r>
    <r>
      <rPr>
        <sz val="10"/>
        <color rgb="FF14191C"/>
        <rFont val="Noto Sans CJK SC"/>
        <family val="2"/>
      </rPr>
      <t xml:space="preserve">으로 나누면 계산 자체가 성립하지 않음 — 협의 대상이 아니라 수학적 제약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</si>
  <si>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FAC-FN-01</t>
  </si>
  <si>
    <r>
      <rPr>
        <sz val="10"/>
        <color rgb="FF14191C"/>
        <rFont val="Noto Sans CJK SC"/>
        <family val="2"/>
      </rPr>
      <t xml:space="preserve">시설 목록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현재 혼잡도</t>
    </r>
  </si>
  <si>
    <t xml:space="preserve">GET /facilities</t>
  </si>
  <si>
    <t xml:space="preserve">FAC-FN-02</t>
  </si>
  <si>
    <t xml:space="preserve">시설 등록</t>
  </si>
  <si>
    <t xml:space="preserve">POST /facilities</t>
  </si>
  <si>
    <t xml:space="preserve">FAC-FN-03</t>
  </si>
  <si>
    <r>
      <rPr>
        <sz val="10"/>
        <color rgb="FF14191C"/>
        <rFont val="Noto Sans CJK SC"/>
        <family val="2"/>
      </rPr>
      <t xml:space="preserve">시설 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비활성화</t>
    </r>
  </si>
  <si>
    <t xml:space="preserve">PATCH /facilities/:id</t>
  </si>
  <si>
    <t xml:space="preserve">FAC-FN-04</t>
  </si>
  <si>
    <r>
      <rPr>
        <sz val="10"/>
        <color rgb="FF14191C"/>
        <rFont val="Noto Sans CJK SC"/>
        <family val="2"/>
      </rPr>
      <t xml:space="preserve">혼잡도 수동 보정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인원 입력 →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자동 계산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</si>
  <si>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/facilities/:id/congestion/manual</t>
  </si>
  <si>
    <t xml:space="preserve">F10a</t>
  </si>
  <si>
    <t xml:space="preserve">자원문서관리</t>
  </si>
  <si>
    <r>
      <rPr>
        <sz val="10"/>
        <color rgb="FF14191C"/>
        <rFont val="Noto Sans CJK SC"/>
        <family val="2"/>
      </rPr>
      <t xml:space="preserve">지점별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운동기구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안전설비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관리</t>
    </r>
  </si>
  <si>
    <t xml:space="preserve">F10b</t>
  </si>
  <si>
    <r>
      <rPr>
        <sz val="10"/>
        <color rgb="FF14191C"/>
        <rFont val="Noto Sans CJK SC"/>
        <family val="2"/>
      </rPr>
      <t xml:space="preserve">자산 취득가액 기준 고정자산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소모품 자동 판정</t>
    </r>
    <r>
      <rPr>
        <sz val="10"/>
        <color rgb="FF14191C"/>
        <rFont val="맑은 고딕"/>
        <family val="0"/>
        <charset val="1"/>
      </rPr>
      <t xml:space="preserve">(100</t>
    </r>
    <r>
      <rPr>
        <sz val="10"/>
        <color rgb="FF14191C"/>
        <rFont val="Noto Sans CJK SC"/>
        <family val="2"/>
      </rPr>
      <t xml:space="preserve">만원 초과 기준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</si>
  <si>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F10c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</si>
  <si>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문서를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전사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연결해 보관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카테고리별 보존기한 관리</t>
    </r>
  </si>
  <si>
    <t xml:space="preserve">F10d</t>
  </si>
  <si>
    <t xml:space="preserve">보존기한 임박 문서 목록</t>
  </si>
  <si>
    <t xml:space="preserve">RES-C05</t>
  </si>
  <si>
    <r>
      <rPr>
        <sz val="10"/>
        <color rgb="FF14191C"/>
        <rFont val="Noto Sans CJK SC"/>
        <family val="2"/>
      </rPr>
      <t xml:space="preserve">실제 파일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바이러스 검사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없음 — </t>
    </r>
    <r>
      <rPr>
        <sz val="10"/>
        <color rgb="FF14191C"/>
        <rFont val="맑은 고딕"/>
        <family val="0"/>
        <charset val="1"/>
      </rPr>
      <t xml:space="preserve">fileUrl</t>
    </r>
    <r>
      <rPr>
        <sz val="10"/>
        <color rgb="FF14191C"/>
        <rFont val="Noto Sans CJK SC"/>
        <family val="2"/>
      </rPr>
      <t xml:space="preserve">은 문자열만 받는다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A-1, §7</t>
    </r>
    <r>
      <rPr>
        <sz val="10"/>
        <color rgb="FF14191C"/>
        <rFont val="Noto Sans CJK SC"/>
        <family val="2"/>
      </rPr>
      <t xml:space="preserve">이 이미 범위 제외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</si>
  <si>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RES-C06</t>
  </si>
  <si>
    <r>
      <rPr>
        <sz val="10"/>
        <color rgb="FF14191C"/>
        <rFont val="Noto Sans CJK SC"/>
        <family val="2"/>
      </rPr>
      <t xml:space="preserve">회계 모듈이 없어 감가상각 정밀 계산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월할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자산군별 상각률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연동할 재무제표가 없음 — 부록 </t>
    </r>
    <r>
      <rPr>
        <sz val="10"/>
        <color rgb="FF14191C"/>
        <rFont val="맑은 고딕"/>
        <family val="0"/>
        <charset val="1"/>
      </rPr>
      <t xml:space="preserve">A-1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연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스냅샷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수준으로 단순화하기로 조정했었고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그마저도 </t>
    </r>
    <r>
      <rPr>
        <sz val="10"/>
        <color rgb="FF14191C"/>
        <rFont val="맑은 고딕"/>
        <family val="0"/>
        <charset val="1"/>
      </rPr>
      <t xml:space="preserve">2026-09-20</t>
    </r>
    <r>
      <rPr>
        <sz val="10"/>
        <color rgb="FF14191C"/>
        <rFont val="Noto Sans CJK SC"/>
        <family val="2"/>
      </rPr>
      <t xml:space="preserve">에 완전히 범위 제외됨</t>
    </r>
    <r>
      <rPr>
        <sz val="10"/>
        <color rgb="FF14191C"/>
        <rFont val="맑은 고딕"/>
        <family val="0"/>
        <charset val="1"/>
      </rPr>
      <t xml:space="preserve">(§7).</t>
    </r>
  </si>
  <si>
    <t xml:space="preserve">RES-INV-01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</si>
  <si>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</si>
  <si>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asset-rules(</t>
    </r>
    <r>
      <rPr>
        <sz val="10"/>
        <color rgb="FF14191C"/>
        <rFont val="Noto Sans CJK SC"/>
        <family val="2"/>
      </rPr>
      <t xml:space="preserve">동시 채번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자동 판정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전이 경합</t>
    </r>
    <r>
      <rPr>
        <sz val="10"/>
        <color rgb="FF14191C"/>
        <rFont val="맑은 고딕"/>
        <family val="0"/>
        <charset val="1"/>
      </rPr>
      <t xml:space="preserve">)·document-rules·document-retention·contract-termination·branch-isolation spec</t>
    </r>
  </si>
  <si>
    <t xml:space="preserve">RES-INV-02</t>
  </si>
  <si>
    <r>
      <rPr>
        <sz val="10"/>
        <color rgb="FF14191C"/>
        <rFont val="맑은 고딕"/>
        <family val="0"/>
        <charset val="1"/>
      </rPr>
      <t xml:space="preserve">HR_RECORD(</t>
    </r>
    <r>
      <rPr>
        <sz val="10"/>
        <color rgb="FF14191C"/>
        <rFont val="Noto Sans CJK SC"/>
        <family val="2"/>
      </rPr>
      <t xml:space="preserve">인사서류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대상 직원</t>
    </r>
    <r>
      <rPr>
        <sz val="10"/>
        <color rgb="FF14191C"/>
        <rFont val="맑은 고딕"/>
        <family val="0"/>
        <charset val="1"/>
      </rPr>
      <t xml:space="preserve">(relatedStaffId)</t>
    </r>
    <r>
      <rPr>
        <sz val="10"/>
        <color rgb="FF14191C"/>
        <rFont val="Noto Sans CJK SC"/>
        <family val="2"/>
      </rPr>
      <t xml:space="preserve">을 반드시 지정해야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누구의 서류인지 모르는 인사서류는 존재 의미가 없음 — 부록 </t>
    </r>
    <r>
      <rPr>
        <sz val="10"/>
        <color rgb="FF14191C"/>
        <rFont val="맑은 고딕"/>
        <family val="0"/>
        <charset val="1"/>
      </rPr>
      <t xml:space="preserve">A-3</t>
    </r>
    <r>
      <rPr>
        <sz val="10"/>
        <color rgb="FF14191C"/>
        <rFont val="Noto Sans CJK SC"/>
        <family val="2"/>
      </rPr>
      <t xml:space="preserve">이 이미 이렇게 설계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</si>
  <si>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RES-INV-03</t>
  </si>
  <si>
    <r>
      <rPr>
        <sz val="10"/>
        <color rgb="FF14191C"/>
        <rFont val="Noto Sans CJK SC"/>
        <family val="2"/>
      </rPr>
      <t xml:space="preserve">문서 삭제는 </t>
    </r>
    <r>
      <rPr>
        <sz val="10"/>
        <color rgb="FF14191C"/>
        <rFont val="맑은 고딕"/>
        <family val="0"/>
        <charset val="1"/>
      </rPr>
      <t xml:space="preserve">SUPER_ADMIN </t>
    </r>
    <r>
      <rPr>
        <sz val="10"/>
        <color rgb="FF14191C"/>
        <rFont val="Noto Sans CJK SC"/>
        <family val="2"/>
      </rPr>
      <t xml:space="preserve">전용이다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인사서류는 법적 증빙 성격이라 지점 관리자가 임의로 지울 수 없어야 함 — 부록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</si>
  <si>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RES-INV-04</t>
  </si>
  <si>
    <r>
      <rPr>
        <sz val="10"/>
        <color rgb="FF14191C"/>
        <rFont val="Noto Sans CJK SC"/>
        <family val="2"/>
      </rPr>
      <t xml:space="preserve">문서는 소프트 삭제</t>
    </r>
    <r>
      <rPr>
        <sz val="10"/>
        <color rgb="FF14191C"/>
        <rFont val="맑은 고딕"/>
        <family val="0"/>
        <charset val="1"/>
      </rPr>
      <t xml:space="preserve">(D9)</t>
    </r>
    <r>
      <rPr>
        <sz val="10"/>
        <color rgb="FF14191C"/>
        <rFont val="Noto Sans CJK SC"/>
        <family val="2"/>
      </rPr>
      <t xml:space="preserve">를 따른다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 분쟁 시 감사 목적 복구 가능성 — 부록 </t>
    </r>
    <r>
      <rPr>
        <sz val="10"/>
        <color rgb="FF14191C"/>
        <rFont val="맑은 고딕"/>
        <family val="0"/>
        <charset val="1"/>
      </rPr>
      <t xml:space="preserve">A-6)</t>
    </r>
  </si>
  <si>
    <t xml:space="preserve">RES-FN-01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</si>
  <si>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 목록</t>
    </r>
  </si>
  <si>
    <t xml:space="preserve">GET /assets</t>
  </si>
  <si>
    <t xml:space="preserve">RES-FN-02</t>
  </si>
  <si>
    <r>
      <rPr>
        <sz val="10"/>
        <color rgb="FF14191C"/>
        <rFont val="Noto Sans CJK SC"/>
        <family val="2"/>
      </rPr>
      <t xml:space="preserve">자산 등록 — 자산코드 자동 채번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</si>
  <si>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/assets</t>
  </si>
  <si>
    <t xml:space="preserve">RES-FN-03</t>
  </si>
  <si>
    <t xml:space="preserve">자산 정보 수정</t>
  </si>
  <si>
    <t xml:space="preserve">PATCH /assets/:id</t>
  </si>
  <si>
    <t xml:space="preserve">RES-FN-04</t>
  </si>
  <si>
    <r>
      <rPr>
        <sz val="10"/>
        <color rgb="FF14191C"/>
        <rFont val="Noto Sans CJK SC"/>
        <family val="2"/>
      </rPr>
      <t xml:space="preserve">자산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</si>
  <si>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/assets/:id/status</t>
  </si>
  <si>
    <t xml:space="preserve">RES-FN-05</t>
  </si>
  <si>
    <t xml:space="preserve">문서 목록</t>
  </si>
  <si>
    <t xml:space="preserve">GET /documents</t>
  </si>
  <si>
    <t xml:space="preserve">RES-FN-06</t>
  </si>
  <si>
    <r>
      <rPr>
        <sz val="10"/>
        <color rgb="FF14191C"/>
        <rFont val="Noto Sans CJK SC"/>
        <family val="2"/>
      </rPr>
      <t xml:space="preserve">문서 등록 — 계약서 보존기한 필수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</si>
  <si>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/documents</t>
  </si>
  <si>
    <t xml:space="preserve">RES-FN-07</t>
  </si>
  <si>
    <r>
      <rPr>
        <sz val="10"/>
        <color rgb="FF14191C"/>
        <rFont val="Noto Sans CJK SC"/>
        <family val="2"/>
      </rPr>
      <t xml:space="preserve">문서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</si>
  <si>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/documents/:id</t>
  </si>
  <si>
    <t xml:space="preserve">RES-FN-08</t>
  </si>
  <si>
    <t xml:space="preserve">문서 상세</t>
  </si>
  <si>
    <t xml:space="preserve">GET /documents/:id</t>
  </si>
  <si>
    <t xml:space="preserve">RES-FN-09</t>
  </si>
  <si>
    <r>
      <rPr>
        <sz val="10"/>
        <color rgb="FF14191C"/>
        <rFont val="Noto Sans CJK SC"/>
        <family val="2"/>
      </rPr>
      <t xml:space="preserve">보존기한 임박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</si>
  <si>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/documents/retention-alerts</t>
  </si>
  <si>
    <t xml:space="preserve">COM-FN-01</t>
  </si>
  <si>
    <t xml:space="preserve">공통</t>
  </si>
  <si>
    <r>
      <rPr>
        <sz val="10"/>
        <color rgb="FF14191C"/>
        <rFont val="Noto Sans CJK SC"/>
        <family val="2"/>
      </rPr>
      <t xml:space="preserve">헬스체크</t>
    </r>
    <r>
      <rPr>
        <sz val="10"/>
        <color rgb="FF14191C"/>
        <rFont val="맑은 고딕"/>
        <family val="0"/>
        <charset val="1"/>
      </rPr>
      <t xml:space="preserve">(DB </t>
    </r>
    <r>
      <rPr>
        <sz val="10"/>
        <color rgb="FF14191C"/>
        <rFont val="Noto Sans CJK SC"/>
        <family val="2"/>
      </rPr>
      <t xml:space="preserve">미경유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</si>
  <si>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불필요</t>
  </si>
  <si>
    <t xml:space="preserve">GET /health</t>
  </si>
  <si>
    <t xml:space="preserve">COM-FN-02</t>
  </si>
  <si>
    <r>
      <rPr>
        <sz val="10"/>
        <color rgb="FF14191C"/>
        <rFont val="Noto Sans CJK SC"/>
        <family val="2"/>
      </rPr>
      <t xml:space="preserve">지점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 정보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</si>
  <si>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/branches</t>
  </si>
  <si>
    <t xml:space="preserve">GAP-01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</si>
  <si>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공통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</si>
  <si>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</si>
  <si>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데이터관리방안</t>
    </r>
    <r>
      <rPr>
        <sz val="10"/>
        <color rgb="FF14191C"/>
        <rFont val="맑은 고딕"/>
        <family val="0"/>
        <charset val="1"/>
      </rPr>
      <t xml:space="preserve">(1-2 #3)</t>
    </r>
  </si>
  <si>
    <t xml:space="preserve">GAP-02</t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</si>
  <si>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</si>
  <si>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r>
      <rPr>
        <sz val="10"/>
        <color rgb="FF14191C"/>
        <rFont val="Noto Sans CJK SC"/>
        <family val="2"/>
      </rPr>
      <t xml:space="preserve">사용자인터페이스보안</t>
    </r>
    <r>
      <rPr>
        <sz val="10"/>
        <color rgb="FF14191C"/>
        <rFont val="맑은 고딕"/>
        <family val="0"/>
        <charset val="1"/>
      </rPr>
      <t xml:space="preserve">(1-2 #7)</t>
    </r>
  </si>
  <si>
    <t xml:space="preserve">GAP-03</t>
  </si>
  <si>
    <r>
      <rPr>
        <sz val="10"/>
        <color rgb="FF14191C"/>
        <rFont val="Noto Sans CJK SC"/>
        <family val="2"/>
      </rPr>
      <t xml:space="preserve">인사 변경 신청 → 관리자 승인 — </t>
    </r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</si>
  <si>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(1-1 #2)</t>
    </r>
  </si>
  <si>
    <t xml:space="preserve">GAP-04</t>
  </si>
  <si>
    <r>
      <rPr>
        <sz val="10"/>
        <color rgb="FF14191C"/>
        <rFont val="Noto Sans CJK SC"/>
        <family val="2"/>
      </rPr>
      <t xml:space="preserve">본사→현장 교육자료 첨부 — </t>
    </r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</si>
  <si>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(1-1 #4)</t>
    </r>
  </si>
  <si>
    <t xml:space="preserve">GAP-05</t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</si>
  <si>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 — </t>
    </r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</si>
  <si>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온라인도움말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상호작용메시지</t>
    </r>
    <r>
      <rPr>
        <sz val="10"/>
        <color rgb="FF14191C"/>
        <rFont val="맑은 고딕"/>
        <family val="0"/>
        <charset val="1"/>
      </rPr>
      <t xml:space="preserve">(1-2 #4·#5)</t>
    </r>
  </si>
  <si>
    <t xml:space="preserve">GAP-06</t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</si>
  <si>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 — 회차 목록 표로만 구현했다</t>
    </r>
  </si>
  <si>
    <t xml:space="preserve">UI/UX(1-2 #6)</t>
  </si>
  <si>
    <t xml:space="preserve">GAP-07</t>
  </si>
  <si>
    <t xml:space="preserve">개인정보처리방침 — 별도 문서가 없다</t>
  </si>
  <si>
    <r>
      <rPr>
        <sz val="10"/>
        <color rgb="FF14191C"/>
        <rFont val="Noto Sans CJK SC"/>
        <family val="2"/>
      </rPr>
      <t xml:space="preserve">보안요건</t>
    </r>
    <r>
      <rPr>
        <sz val="10"/>
        <color rgb="FF14191C"/>
        <rFont val="맑은 고딕"/>
        <family val="0"/>
        <charset val="1"/>
      </rPr>
      <t xml:space="preserve">(1-2 #8)</t>
    </r>
  </si>
  <si>
    <r>
      <rPr>
        <b val="true"/>
        <sz val="16"/>
        <color rgb="FF1E3A5F"/>
        <rFont val="맑은 고딕"/>
        <family val="0"/>
        <charset val="1"/>
      </rPr>
      <t xml:space="preserve">RFP </t>
    </r>
    <r>
      <rPr>
        <b val="true"/>
        <sz val="16"/>
        <color rgb="FF1E3A5F"/>
        <rFont val="Noto Sans CJK SC"/>
        <family val="2"/>
      </rPr>
      <t xml:space="preserve">추적표</t>
    </r>
  </si>
  <si>
    <r>
      <rPr>
        <sz val="10"/>
        <color rgb="FF4B5563"/>
        <rFont val="Noto Sans CJK SC"/>
        <family val="2"/>
      </rPr>
      <t xml:space="preserve">제안요청서</t>
    </r>
    <r>
      <rPr>
        <sz val="10"/>
        <color rgb="FF4B5563"/>
        <rFont val="맑은 고딕"/>
        <family val="0"/>
        <charset val="1"/>
      </rPr>
      <t xml:space="preserve">(2022.06) </t>
    </r>
    <r>
      <rPr>
        <sz val="10"/>
        <color rgb="FF4B5563"/>
        <rFont val="Noto Sans CJK SC"/>
        <family val="2"/>
      </rPr>
      <t xml:space="preserve">원문 요구 → 도메인 → 조정 내용과 근거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docs/reference/</t>
    </r>
    <r>
      <rPr>
        <sz val="10"/>
        <color rgb="FF4B5563"/>
        <rFont val="Noto Sans CJK SC"/>
        <family val="2"/>
      </rPr>
      <t xml:space="preserve">요구사항추적표</t>
    </r>
    <r>
      <rPr>
        <sz val="10"/>
        <color rgb="FF4B5563"/>
        <rFont val="맑은 고딕"/>
        <family val="0"/>
        <charset val="1"/>
      </rPr>
      <t xml:space="preserve">.md §1</t>
    </r>
  </si>
  <si>
    <r>
      <rPr>
        <b val="true"/>
        <sz val="12"/>
        <color rgb="FF1E3A5F"/>
        <rFont val="Noto Sans CJK SC"/>
        <family val="2"/>
      </rPr>
      <t xml:space="preserve">기능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성능 요구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원문 순번</t>
    </r>
    <r>
      <rPr>
        <b val="true"/>
        <sz val="12"/>
        <color rgb="FF1E3A5F"/>
        <rFont val="맑은 고딕"/>
        <family val="0"/>
        <charset val="1"/>
      </rPr>
      <t xml:space="preserve">, 9</t>
    </r>
    <r>
      <rPr>
        <b val="true"/>
        <sz val="12"/>
        <color rgb="FF1E3A5F"/>
        <rFont val="Noto Sans CJK SC"/>
        <family val="2"/>
      </rPr>
      <t xml:space="preserve">번은 원문 결번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</si>
  <si>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#</t>
  </si>
  <si>
    <t xml:space="preserve">요구사항명</t>
  </si>
  <si>
    <t xml:space="preserve">원문 요약</t>
  </si>
  <si>
    <t xml:space="preserve">조정 요약</t>
  </si>
  <si>
    <t xml:space="preserve">결정 근거</t>
  </si>
  <si>
    <t xml:space="preserve">1</t>
  </si>
  <si>
    <r>
      <rPr>
        <sz val="10"/>
        <color rgb="FF14191C"/>
        <rFont val="Noto Sans CJK SC"/>
        <family val="2"/>
      </rPr>
      <t xml:space="preserve">관리자계정에만 권한관리 부여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프로그램별 세부 권한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 ·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이용자 별도 권한관리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퇴사 후 접근통제</t>
    </r>
  </si>
  <si>
    <r>
      <rPr>
        <sz val="10"/>
        <color rgb="FF14191C"/>
        <rFont val="맑은 고딕"/>
        <family val="0"/>
        <charset val="1"/>
      </rPr>
      <t xml:space="preserve">01_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</si>
  <si>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세부 </t>
    </r>
    <r>
      <rPr>
        <sz val="10"/>
        <color rgb="FF14191C"/>
        <rFont val="맑은 고딕"/>
        <family val="0"/>
        <charset val="1"/>
      </rPr>
      <t xml:space="preserve">ACL → 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</t>
    </r>
    <r>
      <rPr>
        <sz val="10"/>
        <color rgb="FF14191C"/>
        <rFont val="Noto Sans CJK SC"/>
        <family val="2"/>
      </rPr>
      <t xml:space="preserve">로 단순화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지점 간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 즉시 차단은 그대로 실사용 가능하게 구현</t>
    </r>
  </si>
  <si>
    <t xml:space="preserve">D1, D12</t>
  </si>
  <si>
    <t xml:space="preserve">2</t>
  </si>
  <si>
    <r>
      <rPr>
        <sz val="10"/>
        <color rgb="FF14191C"/>
        <rFont val="Noto Sans CJK SC"/>
        <family val="2"/>
      </rPr>
      <t xml:space="preserve">현장별 인사관리탭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코드생성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모든 인사기록 한 화면 조회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권한부여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승인 시 수정</t>
    </r>
  </si>
  <si>
    <r>
      <rPr>
        <sz val="10"/>
        <color rgb="FF14191C"/>
        <rFont val="맑은 고딕"/>
        <family val="0"/>
        <charset val="1"/>
      </rPr>
      <t xml:space="preserve">02_</t>
    </r>
    <r>
      <rPr>
        <sz val="10"/>
        <color rgb="FF14191C"/>
        <rFont val="Noto Sans CJK SC"/>
        <family val="2"/>
      </rPr>
      <t xml:space="preserve">인사정보관리</t>
    </r>
  </si>
  <si>
    <r>
      <rPr>
        <sz val="10"/>
        <color rgb="FF14191C"/>
        <rFont val="Noto Sans CJK SC"/>
        <family val="2"/>
      </rPr>
      <t xml:space="preserve">다단계 결재 → 본인 신청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</si>
  <si>
    <r>
      <rPr>
        <sz val="10"/>
        <color rgb="FF14191C"/>
        <rFont val="맑은 고딕"/>
        <family val="0"/>
        <charset val="1"/>
      </rPr>
      <t xml:space="preserve">D3(Account/Staff </t>
    </r>
    <r>
      <rPr>
        <sz val="10"/>
        <color rgb="FF14191C"/>
        <rFont val="Noto Sans CJK SC"/>
        <family val="2"/>
      </rPr>
      <t xml:space="preserve">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</si>
  <si>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3</t>
  </si>
  <si>
    <r>
      <rPr>
        <sz val="10"/>
        <color rgb="FF14191C"/>
        <rFont val="Noto Sans CJK SC"/>
        <family val="2"/>
      </rPr>
      <t xml:space="preserve">현장별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 근태등록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병가 기록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업무일지 작성</t>
    </r>
  </si>
  <si>
    <r>
      <rPr>
        <sz val="10"/>
        <color rgb="FF14191C"/>
        <rFont val="맑은 고딕"/>
        <family val="0"/>
        <charset val="1"/>
      </rPr>
      <t xml:space="preserve">03_</t>
    </r>
    <r>
      <rPr>
        <sz val="10"/>
        <color rgb="FF14191C"/>
        <rFont val="Noto Sans CJK SC"/>
        <family val="2"/>
      </rPr>
      <t xml:space="preserve">근태관리</t>
    </r>
  </si>
  <si>
    <r>
      <rPr>
        <sz val="10"/>
        <color rgb="FF14191C"/>
        <rFont val="Noto Sans CJK SC"/>
        <family val="2"/>
      </rPr>
      <t xml:space="preserve">생체</t>
    </r>
    <r>
      <rPr>
        <sz val="10"/>
        <color rgb="FF14191C"/>
        <rFont val="맑은 고딕"/>
        <family val="0"/>
        <charset val="1"/>
      </rPr>
      <t xml:space="preserve">·GPS </t>
    </r>
    <r>
      <rPr>
        <sz val="10"/>
        <color rgb="FF14191C"/>
        <rFont val="Noto Sans CJK SC"/>
        <family val="2"/>
      </rPr>
      <t xml:space="preserve">출퇴근 검증 제외 → 수동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체크아웃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연차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 세부 인사규정 단순화</t>
    </r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</si>
  <si>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D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근태관리 </t>
    </r>
    <r>
      <rPr>
        <sz val="10"/>
        <color rgb="FF14191C"/>
        <rFont val="맑은 고딕"/>
        <family val="0"/>
        <charset val="1"/>
      </rPr>
      <t xml:space="preserve">§0)</t>
    </r>
  </si>
  <si>
    <t xml:space="preserve">4</t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</si>
  <si>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공지사항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</si>
  <si>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본사→현장 </t>
    </r>
    <r>
      <rPr>
        <sz val="10"/>
        <color rgb="FF14191C"/>
        <rFont val="맑은 고딕"/>
        <family val="0"/>
        <charset val="1"/>
      </rPr>
      <t xml:space="preserve">/ </t>
    </r>
    <r>
      <rPr>
        <sz val="10"/>
        <color rgb="FF14191C"/>
        <rFont val="Noto Sans CJK SC"/>
        <family val="2"/>
      </rPr>
      <t xml:space="preserve">현장→이용자 별도 게시판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본사→현장엔 직원관리탭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교육매뉴얼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</si>
  <si>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04_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_</t>
    </r>
    <r>
      <rPr>
        <sz val="10"/>
        <color rgb="FF14191C"/>
        <rFont val="Noto Sans CJK SC"/>
        <family val="2"/>
      </rPr>
      <t xml:space="preserve">공지사항</t>
    </r>
  </si>
  <si>
    <r>
      <rPr>
        <sz val="10"/>
        <color rgb="FF14191C"/>
        <rFont val="Noto Sans CJK SC"/>
        <family val="2"/>
      </rPr>
      <t xml:space="preserve">조정 없음 — 댓글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좋아요 등 커뮤니티 부가기능만 범위 제외</t>
    </r>
  </si>
  <si>
    <t xml:space="preserve">5</t>
  </si>
  <si>
    <r>
      <rPr>
        <sz val="10"/>
        <color rgb="FF14191C"/>
        <rFont val="Noto Sans CJK SC"/>
        <family val="2"/>
      </rPr>
      <t xml:space="preserve">지점별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타현장 정보 조회불가능하게 할 수 있는 권한 필요</t>
    </r>
  </si>
  <si>
    <r>
      <rPr>
        <sz val="10"/>
        <color rgb="FF14191C"/>
        <rFont val="맑은 고딕"/>
        <family val="0"/>
        <charset val="1"/>
      </rPr>
      <t xml:space="preserve">05_</t>
    </r>
    <r>
      <rPr>
        <sz val="10"/>
        <color rgb="FF14191C"/>
        <rFont val="Noto Sans CJK SC"/>
        <family val="2"/>
      </rPr>
      <t xml:space="preserve">회원관리</t>
    </r>
  </si>
  <si>
    <r>
      <rPr>
        <sz val="10"/>
        <color rgb="FF14191C"/>
        <rFont val="Noto Sans CJK SC"/>
        <family val="2"/>
      </rPr>
      <t xml:space="preserve">조정 없음 — 프로젝트의 핵심 기능으로 판단해 가장 공들여 구현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타현장 조회 불가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BranchScopeGuard</t>
    </r>
    <r>
      <rPr>
        <sz val="10"/>
        <color rgb="FF14191C"/>
        <rFont val="Noto Sans CJK SC"/>
        <family val="2"/>
      </rPr>
      <t xml:space="preserve">로 선택이 아닌 항상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강제 동작으로 구현</t>
    </r>
  </si>
  <si>
    <r>
      <rPr>
        <sz val="10"/>
        <color rgb="FF14191C"/>
        <rFont val="맑은 고딕"/>
        <family val="0"/>
        <charset val="1"/>
      </rPr>
      <t xml:space="preserve">D2(</t>
    </r>
    <r>
      <rPr>
        <sz val="10"/>
        <color rgb="FF14191C"/>
        <rFont val="Noto Sans CJK SC"/>
        <family val="2"/>
      </rPr>
      <t xml:space="preserve">멀티테넌시 </t>
    </r>
    <r>
      <rPr>
        <sz val="10"/>
        <color rgb="FF14191C"/>
        <rFont val="맑은 고딕"/>
        <family val="0"/>
        <charset val="1"/>
      </rPr>
      <t xml:space="preserve">branchId </t>
    </r>
    <r>
      <rPr>
        <sz val="10"/>
        <color rgb="FF14191C"/>
        <rFont val="Noto Sans CJK SC"/>
        <family val="2"/>
      </rPr>
      <t xml:space="preserve">격리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이 요구사항이 </t>
    </r>
    <r>
      <rPr>
        <sz val="10"/>
        <color rgb="FF14191C"/>
        <rFont val="맑은 고딕"/>
        <family val="0"/>
        <charset val="1"/>
      </rPr>
      <t xml:space="preserve">D2</t>
    </r>
    <r>
      <rPr>
        <sz val="10"/>
        <color rgb="FF14191C"/>
        <rFont val="Noto Sans CJK SC"/>
        <family val="2"/>
      </rPr>
      <t xml:space="preserve">의 직접적 근거</t>
    </r>
  </si>
  <si>
    <t xml:space="preserve">6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</si>
  <si>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게시 후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모바일결제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결제내역 처리방법 추후논의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원본에도 미확정 명시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</si>
  <si>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06_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</si>
  <si>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실 </t>
    </r>
    <r>
      <rPr>
        <sz val="10"/>
        <color rgb="FF14191C"/>
        <rFont val="맑은 고딕"/>
        <family val="0"/>
        <charset val="1"/>
      </rPr>
      <t xml:space="preserve">PG </t>
    </r>
    <r>
      <rPr>
        <sz val="10"/>
        <color rgb="FF14191C"/>
        <rFont val="Noto Sans CJK SC"/>
        <family val="2"/>
      </rPr>
      <t xml:space="preserve">연동 불가 → </t>
    </r>
    <r>
      <rPr>
        <sz val="10"/>
        <color rgb="FF14191C"/>
        <rFont val="맑은 고딕"/>
        <family val="0"/>
        <charset val="1"/>
      </rPr>
      <t xml:space="preserve">Mock Payment</t>
    </r>
    <r>
      <rPr>
        <sz val="10"/>
        <color rgb="FF14191C"/>
        <rFont val="Noto Sans CJK SC"/>
        <family val="2"/>
      </rPr>
      <t xml:space="preserve">로 대체하되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대기→승인→환불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실물처럼 구현</t>
    </r>
  </si>
  <si>
    <t xml:space="preserve">D5, D6</t>
  </si>
  <si>
    <t xml:space="preserve">7</t>
  </si>
  <si>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,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</si>
  <si>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리스트</t>
    </r>
  </si>
  <si>
    <r>
      <rPr>
        <sz val="10"/>
        <color rgb="FF14191C"/>
        <rFont val="맑은 고딕"/>
        <family val="0"/>
        <charset val="1"/>
      </rPr>
      <t xml:space="preserve">07_</t>
    </r>
    <r>
      <rPr>
        <sz val="10"/>
        <color rgb="FF14191C"/>
        <rFont val="Noto Sans CJK SC"/>
        <family val="2"/>
      </rPr>
      <t xml:space="preserve">강사프로그램게시</t>
    </r>
  </si>
  <si>
    <r>
      <rPr>
        <sz val="10"/>
        <color rgb="FF14191C"/>
        <rFont val="Noto Sans CJK SC"/>
        <family val="2"/>
      </rPr>
      <t xml:space="preserve">조정 없음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원본에 없던 </t>
    </r>
    <r>
      <rPr>
        <sz val="10"/>
        <color rgb="FF14191C"/>
        <rFont val="맑은 고딕"/>
        <family val="0"/>
        <charset val="1"/>
      </rPr>
      <t xml:space="preserve">Program.status(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라이프사이클을 자체 추가</t>
    </r>
  </si>
  <si>
    <t xml:space="preserve">D7</t>
  </si>
  <si>
    <t xml:space="preserve">8</t>
  </si>
  <si>
    <r>
      <rPr>
        <sz val="10"/>
        <color rgb="FF14191C"/>
        <rFont val="Noto Sans CJK SC"/>
        <family val="2"/>
      </rPr>
      <t xml:space="preserve">시설별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 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실시간 또는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반영</t>
    </r>
  </si>
  <si>
    <r>
      <rPr>
        <sz val="10"/>
        <color rgb="FF14191C"/>
        <rFont val="맑은 고딕"/>
        <family val="0"/>
        <charset val="1"/>
      </rPr>
      <t xml:space="preserve">08_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</si>
  <si>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IoT </t>
    </r>
    <r>
      <rPr>
        <sz val="10"/>
        <color rgb="FF14191C"/>
        <rFont val="Noto Sans CJK SC"/>
        <family val="2"/>
      </rPr>
      <t xml:space="preserve">계측 장비 없음 → 체크인 데이터 자동계산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수동보정 하이브리드로 대체</t>
    </r>
    <r>
      <rPr>
        <sz val="10"/>
        <color rgb="FF14191C"/>
        <rFont val="맑은 고딕"/>
        <family val="0"/>
        <charset val="1"/>
      </rPr>
      <t xml:space="preserve">(5</t>
    </r>
    <r>
      <rPr>
        <sz val="10"/>
        <color rgb="FF14191C"/>
        <rFont val="Noto Sans CJK SC"/>
        <family val="2"/>
      </rPr>
      <t xml:space="preserve">분 주기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원본의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요건 상회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</si>
  <si>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D10</t>
  </si>
  <si>
    <t xml:space="preserve">10</t>
  </si>
  <si>
    <t xml:space="preserve">성능</t>
  </si>
  <si>
    <t xml:space="preserve">시스템가용성및안정성</t>
  </si>
  <si>
    <r>
      <rPr>
        <sz val="10"/>
        <color rgb="FF14191C"/>
        <rFont val="맑은 고딕"/>
        <family val="0"/>
        <charset val="1"/>
      </rPr>
      <t xml:space="preserve">CPU 90%↓ · </t>
    </r>
    <r>
      <rPr>
        <sz val="10"/>
        <color rgb="FF14191C"/>
        <rFont val="Noto Sans CJK SC"/>
        <family val="2"/>
      </rPr>
      <t xml:space="preserve">메모리 </t>
    </r>
    <r>
      <rPr>
        <sz val="10"/>
        <color rgb="FF14191C"/>
        <rFont val="맑은 고딕"/>
        <family val="0"/>
        <charset val="1"/>
      </rPr>
      <t xml:space="preserve">85%↓ · </t>
    </r>
    <r>
      <rPr>
        <sz val="10"/>
        <color rgb="FF14191C"/>
        <rFont val="Noto Sans CJK SC"/>
        <family val="2"/>
      </rPr>
      <t xml:space="preserve">이용자 증가 대응 안정성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성능시험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과부하 사전점검</t>
    </r>
  </si>
  <si>
    <r>
      <rPr>
        <sz val="10"/>
        <color rgb="FF14191C"/>
        <rFont val="맑은 고딕"/>
        <family val="0"/>
        <charset val="1"/>
      </rPr>
      <t xml:space="preserve">00_</t>
    </r>
    <r>
      <rPr>
        <sz val="10"/>
        <color rgb="FF14191C"/>
        <rFont val="Noto Sans CJK SC"/>
        <family val="2"/>
      </rPr>
      <t xml:space="preserve">공통설계서 </t>
    </r>
    <r>
      <rPr>
        <sz val="10"/>
        <color rgb="FF14191C"/>
        <rFont val="맑은 고딕"/>
        <family val="0"/>
        <charset val="1"/>
      </rPr>
      <t xml:space="preserve">§5</t>
    </r>
  </si>
  <si>
    <r>
      <rPr>
        <sz val="10"/>
        <color rgb="FF14191C"/>
        <rFont val="Noto Sans CJK SC"/>
        <family val="2"/>
      </rPr>
      <t xml:space="preserve">처음엔 설계 원칙으로 대체했으나</t>
    </r>
    <r>
      <rPr>
        <sz val="10"/>
        <color rgb="FF14191C"/>
        <rFont val="맑은 고딕"/>
        <family val="0"/>
        <charset val="1"/>
      </rPr>
      <t xml:space="preserve">(D14), </t>
    </r>
    <r>
      <rPr>
        <sz val="10"/>
        <color rgb="FF14191C"/>
        <rFont val="Noto Sans CJK SC"/>
        <family val="2"/>
      </rPr>
      <t xml:space="preserve">실제 배포 후 </t>
    </r>
    <r>
      <rPr>
        <sz val="10"/>
        <color rgb="FF14191C"/>
        <rFont val="맑은 고딕"/>
        <family val="0"/>
        <charset val="1"/>
      </rPr>
      <t xml:space="preserve">k6</t>
    </r>
    <r>
      <rPr>
        <sz val="10"/>
        <color rgb="FF14191C"/>
        <rFont val="Noto Sans CJK SC"/>
        <family val="2"/>
      </rPr>
      <t xml:space="preserve">로 실측해 로그인 </t>
    </r>
    <r>
      <rPr>
        <sz val="10"/>
        <color rgb="FF14191C"/>
        <rFont val="맑은 고딕"/>
        <family val="0"/>
        <charset val="1"/>
      </rPr>
      <t xml:space="preserve">p95 15.16</t>
    </r>
    <r>
      <rPr>
        <sz val="10"/>
        <color rgb="FF14191C"/>
        <rFont val="Noto Sans CJK SC"/>
        <family val="2"/>
      </rPr>
      <t xml:space="preserve">초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공유 </t>
    </r>
    <r>
      <rPr>
        <sz val="10"/>
        <color rgb="FF14191C"/>
        <rFont val="맑은 고딕"/>
        <family val="0"/>
        <charset val="1"/>
      </rPr>
      <t xml:space="preserve">CPU </t>
    </r>
    <r>
      <rPr>
        <sz val="10"/>
        <color rgb="FF14191C"/>
        <rFont val="Noto Sans CJK SC"/>
        <family val="2"/>
      </rPr>
      <t xml:space="preserve">경합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</t>
    </r>
    <r>
      <rPr>
        <sz val="10"/>
        <color rgb="FF14191C"/>
        <rFont val="맑은 고딕"/>
        <family val="0"/>
        <charset val="1"/>
      </rPr>
      <t xml:space="preserve">(D24) → 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전환으로 무상태화</t>
    </r>
    <r>
      <rPr>
        <sz val="10"/>
        <color rgb="FF14191C"/>
        <rFont val="맑은 고딕"/>
        <family val="0"/>
        <charset val="1"/>
      </rPr>
      <t xml:space="preserve">(D26~D36) → AWS Lambda(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동시 실행 상한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Noto Sans CJK SC"/>
        <family val="2"/>
      </rPr>
      <t xml:space="preserve">으로 전환</t>
    </r>
    <r>
      <rPr>
        <sz val="10"/>
        <color rgb="FF14191C"/>
        <rFont val="맑은 고딕"/>
        <family val="0"/>
        <charset val="1"/>
      </rPr>
      <t xml:space="preserve">(D37). Lambda </t>
    </r>
    <r>
      <rPr>
        <sz val="10"/>
        <color rgb="FF14191C"/>
        <rFont val="Noto Sans CJK SC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Noto Sans CJK SC"/>
        <family val="2"/>
      </rPr>
      <t xml:space="preserve">재측정</t>
    </r>
    <r>
      <rPr>
        <sz val="10"/>
        <color rgb="FF14191C"/>
        <rFont val="맑은 고딕"/>
        <family val="0"/>
        <charset val="1"/>
      </rPr>
      <t xml:space="preserve">(2026-10-04, log/056):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p95 237ms, </t>
    </r>
    <r>
      <rPr>
        <sz val="10"/>
        <color rgb="FF14191C"/>
        <rFont val="Noto Sans CJK SC"/>
        <family val="2"/>
      </rPr>
      <t xml:space="preserve">혼합 조회 </t>
    </r>
    <r>
      <rPr>
        <sz val="10"/>
        <color rgb="FF14191C"/>
        <rFont val="맑은 고딕"/>
        <family val="0"/>
        <charset val="1"/>
      </rPr>
      <t xml:space="preserve">50 rps·</t>
    </r>
    <r>
      <rPr>
        <sz val="10"/>
        <color rgb="FF14191C"/>
        <rFont val="Noto Sans CJK SC"/>
        <family val="2"/>
      </rPr>
      <t xml:space="preserve">과부하 </t>
    </r>
    <r>
      <rPr>
        <sz val="10"/>
        <color rgb="FF14191C"/>
        <rFont val="맑은 고딕"/>
        <family val="0"/>
        <charset val="1"/>
      </rPr>
      <t xml:space="preserve">300 rps </t>
    </r>
    <r>
      <rPr>
        <sz val="10"/>
        <color rgb="FF14191C"/>
        <rFont val="Noto Sans CJK SC"/>
        <family val="2"/>
      </rPr>
      <t xml:space="preserve">기준 통과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실질 처리 한계가 약 </t>
    </r>
    <r>
      <rPr>
        <sz val="10"/>
        <color rgb="FF14191C"/>
        <rFont val="맑은 고딕"/>
        <family val="0"/>
        <charset val="1"/>
      </rPr>
      <t xml:space="preserve">50 rps</t>
    </r>
    <r>
      <rPr>
        <sz val="10"/>
        <color rgb="FF14191C"/>
        <rFont val="Noto Sans CJK SC"/>
        <family val="2"/>
      </rPr>
      <t xml:space="preserve">로 설계 가정</t>
    </r>
    <r>
      <rPr>
        <sz val="10"/>
        <color rgb="FF14191C"/>
        <rFont val="맑은 고딕"/>
        <family val="0"/>
        <charset val="1"/>
      </rPr>
      <t xml:space="preserve">(200 rps)</t>
    </r>
    <r>
      <rPr>
        <sz val="10"/>
        <color rgb="FF14191C"/>
        <rFont val="Noto Sans CJK SC"/>
        <family val="2"/>
      </rPr>
      <t xml:space="preserve">보다 작다</t>
    </r>
    <r>
      <rPr>
        <sz val="10"/>
        <color rgb="FF14191C"/>
        <rFont val="맑은 고딕"/>
        <family val="0"/>
        <charset val="1"/>
      </rPr>
      <t xml:space="preserve">(§2-3 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위험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</si>
  <si>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D14</t>
  </si>
  <si>
    <t xml:space="preserve">11</t>
  </si>
  <si>
    <t xml:space="preserve">시스템성능</t>
  </si>
  <si>
    <r>
      <rPr>
        <sz val="10"/>
        <color rgb="FF14191C"/>
        <rFont val="Noto Sans CJK SC"/>
        <family val="2"/>
      </rPr>
      <t xml:space="preserve">성능진단도구로 정확한 성능 진단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처리속도 느린 작업은 사전 알림</t>
    </r>
  </si>
  <si>
    <r>
      <rPr>
        <sz val="10"/>
        <color rgb="FF14191C"/>
        <rFont val="Noto Sans CJK SC"/>
        <family val="2"/>
      </rPr>
      <t xml:space="preserve">위와 같음 — 부하 진단 도구는 </t>
    </r>
    <r>
      <rPr>
        <sz val="10"/>
        <color rgb="FF14191C"/>
        <rFont val="맑은 고딕"/>
        <family val="0"/>
        <charset val="1"/>
      </rPr>
      <t xml:space="preserve">k6(loadtest/), Lambda </t>
    </r>
    <r>
      <rPr>
        <sz val="10"/>
        <color rgb="FF14191C"/>
        <rFont val="Noto Sans CJK SC"/>
        <family val="2"/>
      </rPr>
      <t xml:space="preserve">경보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예산 경보로 이상 감지</t>
    </r>
    <r>
      <rPr>
        <sz val="10"/>
        <color rgb="FF14191C"/>
        <rFont val="맑은 고딕"/>
        <family val="0"/>
        <charset val="1"/>
      </rPr>
      <t xml:space="preserve">(D37)</t>
    </r>
  </si>
  <si>
    <r>
      <rPr>
        <b val="true"/>
        <sz val="12"/>
        <color rgb="FF1E3A5F"/>
        <rFont val="Noto Sans CJK SC"/>
        <family val="2"/>
      </rPr>
      <t xml:space="preserve">시스템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데이터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인터페이스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보안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사업지원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제약 요구</t>
    </r>
  </si>
  <si>
    <r>
      <rPr>
        <b val="true"/>
        <sz val="10"/>
        <color rgb="FFFFFFFF"/>
        <rFont val="Noto Sans CJK SC"/>
        <family val="2"/>
      </rPr>
      <t xml:space="preserve">대응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조정</t>
    </r>
  </si>
  <si>
    <t xml:space="preserve">시스템</t>
  </si>
  <si>
    <t xml:space="preserve">시스템도입</t>
  </si>
  <si>
    <r>
      <rPr>
        <sz val="10"/>
        <color rgb="FF14191C"/>
        <rFont val="Noto Sans CJK SC"/>
        <family val="2"/>
      </rPr>
      <t xml:space="preserve">도입 전 사전이용테스트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총괄담당자 승인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설치단계별 작업계획서</t>
    </r>
  </si>
  <si>
    <r>
      <rPr>
        <sz val="10"/>
        <color rgb="FF14191C"/>
        <rFont val="Noto Sans CJK SC"/>
        <family val="2"/>
      </rPr>
      <t xml:space="preserve">포트폴리오 프로젝트 특성상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 승인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절차 자체는 해당 없음 — 산출물 문서화로 대체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운영 절차는 다루지 않음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범위 외 명시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</si>
  <si>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설치및운영</t>
  </si>
  <si>
    <r>
      <rPr>
        <sz val="10"/>
        <color rgb="FF14191C"/>
        <rFont val="Noto Sans CJK SC"/>
        <family val="2"/>
      </rPr>
      <t xml:space="preserve">개발보안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개발자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제조사 기술지원확약서</t>
    </r>
  </si>
  <si>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구조상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주체가 없음 — 코드 리뷰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테스트 체크리스트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각 문서 </t>
    </r>
    <r>
      <rPr>
        <sz val="10"/>
        <color rgb="FF14191C"/>
        <rFont val="맑은 고딕"/>
        <family val="0"/>
        <charset val="1"/>
      </rPr>
      <t xml:space="preserve">§9)</t>
    </r>
    <r>
      <rPr>
        <sz val="10"/>
        <color rgb="FF14191C"/>
        <rFont val="Noto Sans CJK SC"/>
        <family val="2"/>
      </rPr>
      <t xml:space="preserve">로 대체</t>
    </r>
  </si>
  <si>
    <t xml:space="preserve">데이터</t>
  </si>
  <si>
    <t xml:space="preserve">데이터관리방안</t>
  </si>
  <si>
    <r>
      <rPr>
        <sz val="10"/>
        <color rgb="FF14191C"/>
        <rFont val="Noto Sans CJK SC"/>
        <family val="2"/>
      </rPr>
      <t xml:space="preserve">대용량 데이터 표준관리 및 변경이력 관리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오류데이터 진단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개선</t>
    </r>
  </si>
  <si>
    <r>
      <rPr>
        <sz val="10"/>
        <color rgb="FF14191C"/>
        <rFont val="맑은 고딕"/>
        <family val="0"/>
        <charset val="1"/>
      </rPr>
      <t xml:space="preserve">AuditLog </t>
    </r>
    <r>
      <rPr>
        <sz val="10"/>
        <color rgb="FF14191C"/>
        <rFont val="Noto Sans CJK SC"/>
        <family val="2"/>
      </rPr>
      <t xml:space="preserve">테이블</t>
    </r>
    <r>
      <rPr>
        <sz val="10"/>
        <color rgb="FF14191C"/>
        <rFont val="맑은 고딕"/>
        <family val="0"/>
        <charset val="1"/>
      </rPr>
      <t xml:space="preserve">(architecture/entities.md §2, §5)</t>
    </r>
    <r>
      <rPr>
        <sz val="10"/>
        <color rgb="FF14191C"/>
        <rFont val="Noto Sans CJK SC"/>
        <family val="2"/>
      </rPr>
      <t xml:space="preserve">로 대응 — 단 테이블만 있고 기록하는 코드가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, §2-3). </t>
    </r>
    <r>
      <rPr>
        <sz val="10"/>
        <color rgb="FF14191C"/>
        <rFont val="Noto Sans CJK SC"/>
        <family val="2"/>
      </rPr>
      <t xml:space="preserve">오류 데이터 방지는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제약</t>
    </r>
    <r>
      <rPr>
        <sz val="10"/>
        <color rgb="FF14191C"/>
        <rFont val="맑은 고딕"/>
        <family val="0"/>
        <charset val="1"/>
      </rPr>
      <t xml:space="preserve">(CHECK 18·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7, D28)</t>
    </r>
    <r>
      <rPr>
        <sz val="10"/>
        <color rgb="FF14191C"/>
        <rFont val="Noto Sans CJK SC"/>
        <family val="2"/>
      </rPr>
      <t xml:space="preserve">으로 대응</t>
    </r>
  </si>
  <si>
    <t xml:space="preserve">인터페이스</t>
  </si>
  <si>
    <t xml:space="preserve">온라인도움말</t>
  </si>
  <si>
    <r>
      <rPr>
        <sz val="10"/>
        <color rgb="FF14191C"/>
        <rFont val="Noto Sans CJK SC"/>
        <family val="2"/>
      </rPr>
      <t xml:space="preserve">화면별 기능사용 순서 안내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해결방법 안내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</si>
  <si>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Toast/Modal </t>
    </r>
    <r>
      <rPr>
        <sz val="10"/>
        <color rgb="FF14191C"/>
        <rFont val="Noto Sans CJK SC"/>
        <family val="2"/>
      </rPr>
      <t xml:space="preserve">컴포넌트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툴팁으로 대체</t>
    </r>
    <r>
      <rPr>
        <sz val="10"/>
        <color rgb="FF14191C"/>
        <rFont val="맑은 고딕"/>
        <family val="0"/>
        <charset val="1"/>
      </rPr>
      <t xml:space="preserve">(architecture/system-overview.md §5) — Modal</t>
    </r>
    <r>
      <rPr>
        <sz val="10"/>
        <color rgb="FF14191C"/>
        <rFont val="Noto Sans CJK SC"/>
        <family val="2"/>
      </rPr>
      <t xml:space="preserve">만 있고 </t>
    </r>
    <r>
      <rPr>
        <sz val="10"/>
        <color rgb="FF14191C"/>
        <rFont val="맑은 고딕"/>
        <family val="0"/>
        <charset val="1"/>
      </rPr>
      <t xml:space="preserve">Toast·</t>
    </r>
    <r>
      <rPr>
        <sz val="10"/>
        <color rgb="FF14191C"/>
        <rFont val="Noto Sans CJK SC"/>
        <family val="2"/>
      </rPr>
      <t xml:space="preserve">화면별 도움말은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오류는 화면마다 인라인 메시지로 표시</t>
    </r>
  </si>
  <si>
    <t xml:space="preserve">상호작용메시지</t>
  </si>
  <si>
    <r>
      <rPr>
        <sz val="10"/>
        <color rgb="FF14191C"/>
        <rFont val="Noto Sans CJK SC"/>
        <family val="2"/>
      </rPr>
      <t xml:space="preserve">사용자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시스템 상호작용 확인 메시지</t>
    </r>
  </si>
  <si>
    <t xml:space="preserve">위와 동일</t>
  </si>
  <si>
    <t xml:space="preserve">UI/UX</t>
  </si>
  <si>
    <r>
      <rPr>
        <sz val="10"/>
        <color rgb="FF14191C"/>
        <rFont val="Noto Sans CJK SC"/>
        <family val="2"/>
      </rPr>
      <t xml:space="preserve">통일성 있는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직관적 </t>
    </r>
    <r>
      <rPr>
        <sz val="10"/>
        <color rgb="FF14191C"/>
        <rFont val="맑은 고딕"/>
        <family val="0"/>
        <charset val="1"/>
      </rPr>
      <t xml:space="preserve">UX, </t>
    </r>
    <r>
      <rPr>
        <sz val="10"/>
        <color rgb="FF14191C"/>
        <rFont val="Noto Sans CJK SC"/>
        <family val="2"/>
      </rPr>
      <t xml:space="preserve">위치정보 </t>
    </r>
    <r>
      <rPr>
        <sz val="10"/>
        <color rgb="FF14191C"/>
        <rFont val="맑은 고딕"/>
        <family val="0"/>
        <charset val="1"/>
      </rPr>
      <t xml:space="preserve">MAP </t>
    </r>
    <r>
      <rPr>
        <sz val="10"/>
        <color rgb="FF14191C"/>
        <rFont val="Noto Sans CJK SC"/>
        <family val="2"/>
      </rPr>
      <t xml:space="preserve">형태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 버튼 제어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입력창 크기 최적화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 형태 예약 표시</t>
    </r>
  </si>
  <si>
    <r>
      <rPr>
        <sz val="10"/>
        <color rgb="FF14191C"/>
        <rFont val="맑은 고딕"/>
        <family val="0"/>
        <charset val="1"/>
      </rPr>
      <t xml:space="preserve">admin-web </t>
    </r>
    <r>
      <rPr>
        <sz val="10"/>
        <color rgb="FF14191C"/>
        <rFont val="Noto Sans CJK SC"/>
        <family val="2"/>
      </rPr>
      <t xml:space="preserve">디자인 토큰화</t>
    </r>
    <r>
      <rPr>
        <sz val="10"/>
        <color rgb="FF14191C"/>
        <rFont val="맑은 고딕"/>
        <family val="0"/>
        <charset val="1"/>
      </rPr>
      <t xml:space="preserve">(D15)</t>
    </r>
    <r>
      <rPr>
        <sz val="10"/>
        <color rgb="FF14191C"/>
        <rFont val="Noto Sans CJK SC"/>
        <family val="2"/>
      </rPr>
      <t xml:space="preserve">로 통일성 확보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 </t>
    </r>
    <r>
      <rPr>
        <sz val="10"/>
        <color rgb="FF14191C"/>
        <rFont val="맑은 고딕"/>
        <family val="0"/>
        <charset val="1"/>
      </rPr>
      <t xml:space="preserve">UI, MAP</t>
    </r>
    <r>
      <rPr>
        <sz val="10"/>
        <color rgb="FF14191C"/>
        <rFont val="Noto Sans CJK SC"/>
        <family val="2"/>
      </rPr>
      <t xml:space="preserve">형 위치 표시는 미구현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예약은 회차 목록 표로 구현</t>
    </r>
    <r>
      <rPr>
        <sz val="10"/>
        <color rgb="FF14191C"/>
        <rFont val="맑은 고딕"/>
        <family val="0"/>
        <charset val="1"/>
      </rPr>
      <t xml:space="preserve">, §2-3)</t>
    </r>
  </si>
  <si>
    <t xml:space="preserve">사용자인터페이스보안</t>
  </si>
  <si>
    <r>
      <rPr>
        <sz val="10"/>
        <color rgb="FF14191C"/>
        <rFont val="Noto Sans CJK SC"/>
        <family val="2"/>
      </rPr>
      <t xml:space="preserve">개인정보 무단 노출 금지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그룹별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개인별 접근통제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금융기관 연계 확인</t>
    </r>
  </si>
  <si>
    <r>
      <rPr>
        <sz val="10"/>
        <color rgb="FF14191C"/>
        <rFont val="맑은 고딕"/>
        <family val="0"/>
        <charset val="1"/>
      </rPr>
      <t xml:space="preserve">class-transformer @Exclude</t>
    </r>
    <r>
      <rPr>
        <sz val="10"/>
        <color rgb="FF14191C"/>
        <rFont val="Noto Sans CJK SC"/>
        <family val="2"/>
      </rPr>
      <t xml:space="preserve">로 응답에서 민감정보 제외 원칙</t>
    </r>
    <r>
      <rPr>
        <sz val="10"/>
        <color rgb="FF14191C"/>
        <rFont val="맑은 고딕"/>
        <family val="0"/>
        <charset val="1"/>
      </rPr>
      <t xml:space="preserve">(architecture/system-overview.md §5) — </t>
    </r>
    <r>
      <rPr>
        <sz val="10"/>
        <color rgb="FF14191C"/>
        <rFont val="Noto Sans CJK SC"/>
        <family val="2"/>
      </rPr>
      <t xml:space="preserve">응답 마스킹은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접근통제는 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지점 격리로 구현</t>
    </r>
  </si>
  <si>
    <t xml:space="preserve">보안</t>
  </si>
  <si>
    <t xml:space="preserve">보안요건</t>
  </si>
  <si>
    <r>
      <rPr>
        <sz val="10"/>
        <color rgb="FF14191C"/>
        <rFont val="Noto Sans CJK SC"/>
        <family val="2"/>
      </rPr>
      <t xml:space="preserve">사업수행 인원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문서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장비 보안관리계획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개인정보보호법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 준수</t>
    </r>
  </si>
  <si>
    <r>
      <rPr>
        <sz val="10"/>
        <color rgb="FF14191C"/>
        <rFont val="Noto Sans CJK SC"/>
        <family val="2"/>
      </rPr>
      <t xml:space="preserve">개인정보처리방침 문서화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형식적 산출물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— 아직 별도 문서로 작성되지 않음</t>
    </r>
  </si>
  <si>
    <t xml:space="preserve">9</t>
  </si>
  <si>
    <t xml:space="preserve">사업지원</t>
  </si>
  <si>
    <t xml:space="preserve">하자보수</t>
  </si>
  <si>
    <r>
      <rPr>
        <sz val="10"/>
        <color rgb="FF14191C"/>
        <rFont val="Noto Sans CJK SC"/>
        <family val="2"/>
      </rPr>
      <t xml:space="preserve">무상보증기간 </t>
    </r>
    <r>
      <rPr>
        <sz val="10"/>
        <color rgb="FF14191C"/>
        <rFont val="맑은 고딕"/>
        <family val="0"/>
        <charset val="1"/>
      </rPr>
      <t xml:space="preserve">12</t>
    </r>
    <r>
      <rPr>
        <sz val="10"/>
        <color rgb="FF14191C"/>
        <rFont val="Noto Sans CJK SC"/>
        <family val="2"/>
      </rPr>
      <t xml:space="preserve">개월</t>
    </r>
    <r>
      <rPr>
        <sz val="10"/>
        <color rgb="FF14191C"/>
        <rFont val="맑은 고딕"/>
        <family val="0"/>
        <charset val="1"/>
      </rPr>
      <t xml:space="preserve">, SW </t>
    </r>
    <r>
      <rPr>
        <sz val="10"/>
        <color rgb="FF14191C"/>
        <rFont val="Noto Sans CJK SC"/>
        <family val="2"/>
      </rPr>
      <t xml:space="preserve">신규버전 업그레이드 방침</t>
    </r>
  </si>
  <si>
    <r>
      <rPr>
        <sz val="10"/>
        <color rgb="FF14191C"/>
        <rFont val="Noto Sans CJK SC"/>
        <family val="2"/>
      </rPr>
      <t xml:space="preserve">포트폴리오 프로젝트 특성상 해당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실제 발주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수행 계약 관계가 아니므로 범위 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</si>
  <si>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제약사항</t>
  </si>
  <si>
    <t xml:space="preserve">규정의준수</t>
  </si>
  <si>
    <r>
      <rPr>
        <sz val="10"/>
        <color rgb="FF14191C"/>
        <rFont val="Noto Sans CJK SC"/>
        <family val="2"/>
      </rPr>
      <t xml:space="preserve">지식재산권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저작권 문제없는 저작물 구현</t>
    </r>
  </si>
  <si>
    <r>
      <rPr>
        <sz val="10"/>
        <color rgb="FF14191C"/>
        <rFont val="Noto Sans CJK SC"/>
        <family val="2"/>
      </rPr>
      <t xml:space="preserve">오픈소스 라이선스</t>
    </r>
    <r>
      <rPr>
        <sz val="10"/>
        <color rgb="FF14191C"/>
        <rFont val="맑은 고딕"/>
        <family val="0"/>
        <charset val="1"/>
      </rPr>
      <t xml:space="preserve">(MIT/Apache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패키지만 사용 — 별도 점검 문서는 없음</t>
    </r>
  </si>
  <si>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1·</t>
    </r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2·</t>
    </r>
    <r>
      <rPr>
        <b val="true"/>
        <sz val="12"/>
        <color rgb="FF1E3A5F"/>
        <rFont val="Noto Sans CJK SC"/>
        <family val="2"/>
      </rPr>
      <t xml:space="preserve">산출물</t>
    </r>
  </si>
  <si>
    <t xml:space="preserve">원본 항목</t>
  </si>
  <si>
    <t xml:space="preserve">위치</t>
  </si>
  <si>
    <t xml:space="preserve">대응 문서</t>
  </si>
  <si>
    <t xml:space="preserve">비고</t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</si>
  <si>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기업 구조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지역분포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근무자구조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조직도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</si>
  <si>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p.3</t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</si>
  <si>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§2</t>
    </r>
  </si>
  <si>
    <r>
      <rPr>
        <sz val="10"/>
        <color rgb="FF14191C"/>
        <rFont val="Noto Sans CJK SC"/>
        <family val="2"/>
      </rPr>
      <t xml:space="preserve">기존 </t>
    </r>
    <r>
      <rPr>
        <sz val="10"/>
        <color rgb="FF14191C"/>
        <rFont val="맑은 고딕"/>
        <family val="0"/>
        <charset val="1"/>
      </rPr>
      <t xml:space="preserve">1-1/1-3/D21/D22 </t>
    </r>
    <r>
      <rPr>
        <sz val="10"/>
        <color rgb="FF14191C"/>
        <rFont val="Noto Sans CJK SC"/>
        <family val="2"/>
      </rPr>
      <t xml:space="preserve">구현을 재확인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조직도 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지역관리자 계층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진단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</si>
  <si>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관리시스템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물적자원 관리 현황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</si>
  <si>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§3</t>
    </r>
  </si>
  <si>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물적자원 관리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지금까지 설계에 전혀 없었던 공백이었음을 확인 — 자원문서관리 부록 </t>
    </r>
    <r>
      <rPr>
        <sz val="10"/>
        <color rgb="FF14191C"/>
        <rFont val="맑은 고딕"/>
        <family val="0"/>
        <charset val="1"/>
      </rPr>
      <t xml:space="preserve">A</t>
    </r>
    <r>
      <rPr>
        <sz val="10"/>
        <color rgb="FF14191C"/>
        <rFont val="Noto Sans CJK SC"/>
        <family val="2"/>
      </rPr>
      <t xml:space="preserve">에서 신규 설계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</si>
  <si>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기업 분석 자료 — 기업 경영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 현황 분석</t>
    </r>
    <r>
      <rPr>
        <sz val="10"/>
        <color rgb="FF14191C"/>
        <rFont val="맑은 고딕"/>
        <family val="0"/>
        <charset val="1"/>
      </rPr>
      <t xml:space="preserve">(20p+)</t>
    </r>
  </si>
  <si>
    <t xml:space="preserve">p.7</t>
  </si>
  <si>
    <t xml:space="preserve">자원문서관리 문서 전체</t>
  </si>
  <si>
    <t xml:space="preserve">실무 밀도로 신규 작성</t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</si>
  <si>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어플 도입 후 기대효과 분석</t>
    </r>
    <r>
      <rPr>
        <sz val="10"/>
        <color rgb="FF14191C"/>
        <rFont val="맑은 고딕"/>
        <family val="0"/>
        <charset val="1"/>
      </rPr>
      <t xml:space="preserve">(30p+, 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증가율 예측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</si>
  <si>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미대응</t>
  </si>
  <si>
    <r>
      <rPr>
        <sz val="10"/>
        <color rgb="FF14191C"/>
        <rFont val="Noto Sans CJK SC"/>
        <family val="2"/>
      </rPr>
      <t xml:space="preserve">실제 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데이터가 없는 포트폴리오 프로젝트에서 수치 예측은 허구 생성이라 판단해 의도적으로 범위 제외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측정 방법론만이라도 대신 제시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하는 대안도 검토했으나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방법론이 성립하려면 결국 실제 운영 데이터가 쌓여야 해 같은 문제로 판명나 기각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차별화전략 </t>
    </r>
    <r>
      <rPr>
        <sz val="10"/>
        <color rgb="FF14191C"/>
        <rFont val="맑은 고딕"/>
        <family val="0"/>
        <charset val="1"/>
      </rPr>
      <t xml:space="preserve">§2-1)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</si>
  <si>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유사기업 직원 매뉴얼 형태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현황 분석</t>
    </r>
    <r>
      <rPr>
        <sz val="10"/>
        <color rgb="FF14191C"/>
        <rFont val="맑은 고딕"/>
        <family val="0"/>
        <charset val="1"/>
      </rPr>
      <t xml:space="preserve">(30p+)</t>
    </r>
  </si>
  <si>
    <r>
      <rPr>
        <sz val="10"/>
        <color rgb="FF14191C"/>
        <rFont val="Noto Sans CJK SC"/>
        <family val="2"/>
      </rPr>
      <t xml:space="preserve">벤치마킹 대상 기업 접근 권한이 없는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조건상 수행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실무 조사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재물조사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전자결재 관행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흡수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</si>
  <si>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 기업체 관리 시스템 현황 분석</t>
    </r>
  </si>
  <si>
    <t xml:space="preserve">위와 동일 사유</t>
  </si>
  <si>
    <t xml:space="preserve">권한관리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</si>
  <si>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권한관리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</si>
  <si>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t xml:space="preserve">사용자 스토리</t>
  </si>
  <si>
    <t xml:space="preserve">•</t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</si>
  <si>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모든 지점 데이터를 조회하고 신규 지점 관리자 계정을 발급하고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</si>
  <si>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로그인하면 내 지점 데이터만 보이길 원하고 실수로도 다른 지점 정보에 접근할 수 없기를 바란다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</si>
  <si>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정보와 내가 속한 지점의 프로그램만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</si>
  <si>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직원이 퇴사하면 그 즉시 시스템 접근을 막고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</si>
  <si>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로그인해서 내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업무일지만 스스로 관리하고 싶다 — 다른 직원 정보나 회원 관리 화면은 볼 필요도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보여서도 안 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</si>
  <si>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b val="true"/>
        <sz val="12"/>
        <color rgb="FF1E3A5F"/>
        <rFont val="Noto Sans CJK SC"/>
        <family val="2"/>
      </rPr>
      <t xml:space="preserve">원문 요구</t>
    </r>
    <r>
      <rPr>
        <b val="true"/>
        <sz val="12"/>
        <color rgb="FF1E3A5F"/>
        <rFont val="맑은 고딕"/>
        <family val="0"/>
        <charset val="1"/>
      </rPr>
      <t xml:space="preserve">(RFP </t>
    </r>
    <r>
      <rPr>
        <b val="true"/>
        <sz val="12"/>
        <color rgb="FF1E3A5F"/>
        <rFont val="Noto Sans CJK SC"/>
        <family val="2"/>
      </rPr>
      <t xml:space="preserve">기반 재분류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</si>
  <si>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품질</t>
  </si>
  <si>
    <t xml:space="preserve">제약</t>
  </si>
  <si>
    <r>
      <rPr>
        <b val="true"/>
        <sz val="12"/>
        <color rgb="FF1E3A5F"/>
        <rFont val="Noto Sans CJK SC"/>
        <family val="2"/>
      </rPr>
      <t xml:space="preserve">불변규칙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협의 불가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</si>
  <si>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규칙</t>
  </si>
  <si>
    <t xml:space="preserve">자동 테스트</t>
  </si>
  <si>
    <t xml:space="preserve">관련 테스트</t>
  </si>
  <si>
    <r>
      <rPr>
        <b val="true"/>
        <sz val="12"/>
        <color rgb="FF1E3A5F"/>
        <rFont val="Noto Sans CJK SC"/>
        <family val="2"/>
      </rPr>
      <t xml:space="preserve">기능 명세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실제 </t>
    </r>
    <r>
      <rPr>
        <b val="true"/>
        <sz val="12"/>
        <color rgb="FF1E3A5F"/>
        <rFont val="맑은 고딕"/>
        <family val="0"/>
        <charset val="1"/>
      </rPr>
      <t xml:space="preserve">API </t>
    </r>
    <r>
      <rPr>
        <b val="true"/>
        <sz val="12"/>
        <color rgb="FF1E3A5F"/>
        <rFont val="Noto Sans CJK SC"/>
        <family val="2"/>
      </rPr>
      <t xml:space="preserve">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</si>
  <si>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Method</t>
  </si>
  <si>
    <t xml:space="preserve">Endpoint(/api/v1)</t>
  </si>
  <si>
    <t xml:space="preserve">권한</t>
  </si>
  <si>
    <t xml:space="preserve">POST</t>
  </si>
  <si>
    <t xml:space="preserve">/auth/login</t>
  </si>
  <si>
    <t xml:space="preserve">공개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</si>
  <si>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(API+</t>
    </r>
    <r>
      <rPr>
        <sz val="10"/>
        <color rgb="FF14191C"/>
        <rFont val="Noto Sans CJK SC"/>
        <family val="2"/>
      </rPr>
      <t xml:space="preserve">화면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</si>
  <si>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/auth/logout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</si>
  <si>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(API, </t>
    </r>
    <r>
      <rPr>
        <sz val="10"/>
        <color rgb="FF14191C"/>
        <rFont val="Noto Sans CJK SC"/>
        <family val="2"/>
      </rPr>
      <t xml:space="preserve">화면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</si>
  <si>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</t>
  </si>
  <si>
    <t xml:space="preserve">/auth/me</t>
  </si>
  <si>
    <t xml:space="preserve">로그인 사용자</t>
  </si>
  <si>
    <t xml:space="preserve">PATCH</t>
  </si>
  <si>
    <t xml:space="preserve">/auth/password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</si>
  <si>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화면 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</si>
  <si>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/auth/refresh</t>
  </si>
  <si>
    <t xml:space="preserve">/permissions/staff</t>
  </si>
  <si>
    <t xml:space="preserve">본사</t>
  </si>
  <si>
    <t xml:space="preserve">/permissions/staff/:staffId/role</t>
  </si>
  <si>
    <r>
      <rPr>
        <b val="true"/>
        <sz val="12"/>
        <color rgb="FF1E3A5F"/>
        <rFont val="Noto Sans CJK SC"/>
        <family val="2"/>
      </rPr>
      <t xml:space="preserve">설계 결정</t>
    </r>
    <r>
      <rPr>
        <b val="true"/>
        <sz val="12"/>
        <color rgb="FF1E3A5F"/>
        <rFont val="맑은 고딕"/>
        <family val="0"/>
        <charset val="1"/>
      </rPr>
      <t xml:space="preserve">(ADR)</t>
    </r>
  </si>
  <si>
    <t xml:space="preserve">ADR</t>
  </si>
  <si>
    <t xml:space="preserve">결정</t>
  </si>
  <si>
    <t xml:space="preserve">ADR-AUTH-01</t>
  </si>
  <si>
    <r>
      <rPr>
        <sz val="10"/>
        <color rgb="FF14191C"/>
        <rFont val="Noto Sans CJK SC"/>
        <family val="2"/>
      </rPr>
      <t xml:space="preserve">매 요청 </t>
    </r>
    <r>
      <rPr>
        <sz val="10"/>
        <color rgb="FF14191C"/>
        <rFont val="맑은 고딕"/>
        <family val="0"/>
        <charset val="1"/>
      </rPr>
      <t xml:space="preserve">Account </t>
    </r>
    <r>
      <rPr>
        <sz val="10"/>
        <color rgb="FF14191C"/>
        <rFont val="Noto Sans CJK SC"/>
        <family val="2"/>
      </rPr>
      <t xml:space="preserve">재조회로 퇴사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 즉시 반영</t>
    </r>
  </si>
  <si>
    <t xml:space="preserve">ADR-AUTH-02</t>
  </si>
  <si>
    <r>
      <rPr>
        <sz val="10"/>
        <color rgb="FF14191C"/>
        <rFont val="Noto Sans CJK SC"/>
        <family val="2"/>
      </rPr>
      <t xml:space="preserve">계약 종료 지점 계정 — 쓰기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수동 비활성화</t>
    </r>
  </si>
  <si>
    <r>
      <rPr>
        <sz val="10"/>
        <color rgb="FF14191C"/>
        <rFont val="Noto Sans CJK SC"/>
        <family val="2"/>
      </rPr>
      <t xml:space="preserve">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범위는 </t>
    </r>
    <r>
      <rPr>
        <sz val="10"/>
        <color rgb="FF14191C"/>
        <rFont val="맑은 고딕"/>
        <family val="0"/>
        <charset val="1"/>
      </rPr>
      <t xml:space="preserve">ADR </t>
    </r>
    <r>
      <rPr>
        <sz val="10"/>
        <color rgb="FF14191C"/>
        <rFont val="Noto Sans CJK SC"/>
        <family val="2"/>
      </rPr>
      <t xml:space="preserve">절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</si>
  <si>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ADR-AUTH-03</t>
  </si>
  <si>
    <r>
      <rPr>
        <sz val="10"/>
        <color rgb="FF14191C"/>
        <rFont val="맑은 고딕"/>
        <family val="0"/>
        <charset val="1"/>
      </rPr>
      <t xml:space="preserve">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ACL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</si>
  <si>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미구현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범위 제외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도메인 문서 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</si>
  <si>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로그인 잠금</t>
    </r>
    <r>
      <rPr>
        <sz val="10"/>
        <color rgb="FF14191C"/>
        <rFont val="맑은 고딕"/>
        <family val="0"/>
        <charset val="1"/>
      </rPr>
      <t xml:space="preserve">, /accounts </t>
    </r>
    <r>
      <rPr>
        <sz val="10"/>
        <color rgb="FF14191C"/>
        <rFont val="Noto Sans CJK SC"/>
        <family val="2"/>
      </rPr>
      <t xml:space="preserve">범용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비밀번호 재설정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로그인 이력 화면</t>
    </r>
  </si>
  <si>
    <t xml:space="preserve">인사정보관리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</si>
  <si>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인사정보관리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</si>
  <si>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채용한 직원을 특정 지점에 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최초 파견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</si>
  <si>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직원을 다른 지점으로 재배치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그 이력을 남기고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</si>
  <si>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우리 지점에 파견된 직원들의 직급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연락처 등 일상적인 인사정보를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</si>
  <si>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 직원 현황을 하나의 화면에서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한 화면 조회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요건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</si>
  <si>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인적사항 변경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연락처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신청하면 관리자 승인 후 반영되길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</si>
  <si>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퇴사 처리 시 퇴사일을 기록하고 계정을 자동으로 비활성화하고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</si>
  <si>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/staff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</si>
  <si>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</si>
  <si>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/staff/:id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</si>
  <si>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</si>
  <si>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지점</t>
  </si>
  <si>
    <t xml:space="preserve">/staff/:id/assignments</t>
  </si>
  <si>
    <t xml:space="preserve">/staff/:id/resign</t>
  </si>
  <si>
    <t xml:space="preserve">/staff/me</t>
  </si>
  <si>
    <t xml:space="preserve">ADR-STF-01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</si>
  <si>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 발령은 단일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트랜잭션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</si>
  <si>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(D30)</t>
    </r>
  </si>
  <si>
    <t xml:space="preserve">ADR-STF-02</t>
  </si>
  <si>
    <r>
      <rPr>
        <sz val="10"/>
        <color rgb="FF14191C"/>
        <rFont val="맑은 고딕"/>
        <family val="0"/>
        <charset val="1"/>
      </rPr>
      <t xml:space="preserve">staffCode </t>
    </r>
    <r>
      <rPr>
        <sz val="10"/>
        <color rgb="FF14191C"/>
        <rFont val="Noto Sans CJK SC"/>
        <family val="2"/>
      </rPr>
      <t xml:space="preserve">채번 — 시퀀스 테이블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행 락</t>
    </r>
    <r>
      <rPr>
        <sz val="10"/>
        <color rgb="FF14191C"/>
        <rFont val="맑은 고딕"/>
        <family val="0"/>
        <charset val="1"/>
      </rPr>
      <t xml:space="preserve">(allocateBranchCode)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</si>
  <si>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(D28·D30)</t>
    </r>
  </si>
  <si>
    <t xml:space="preserve">ADR-STF-03</t>
  </si>
  <si>
    <r>
      <rPr>
        <sz val="10"/>
        <color rgb="FF14191C"/>
        <rFont val="Noto Sans CJK SC"/>
        <family val="2"/>
      </rPr>
      <t xml:space="preserve">활성 파견 유일성 — 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</si>
  <si>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(D27)</t>
    </r>
  </si>
  <si>
    <t xml:space="preserve">ADR-STF-04</t>
  </si>
  <si>
    <r>
      <rPr>
        <sz val="10"/>
        <color rgb="FF14191C"/>
        <rFont val="Noto Sans CJK SC"/>
        <family val="2"/>
      </rPr>
      <t xml:space="preserve">파견 발령 시 담당 회원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같은 트랜잭션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</si>
  <si>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(D30, DI-02)</t>
    </r>
  </si>
  <si>
    <r>
      <rPr>
        <sz val="10"/>
        <color rgb="FF14191C"/>
        <rFont val="Noto Sans CJK SC"/>
        <family val="2"/>
      </rPr>
      <t xml:space="preserve">변경 신청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승인 워크플로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이력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연락처 마스킹</t>
    </r>
    <r>
      <rPr>
        <sz val="10"/>
        <color rgb="FF14191C"/>
        <rFont val="맑은 고딕"/>
        <family val="0"/>
        <charset val="1"/>
      </rPr>
      <t xml:space="preserve">, offDays </t>
    </r>
    <r>
      <rPr>
        <sz val="10"/>
        <color rgb="FF14191C"/>
        <rFont val="Noto Sans CJK SC"/>
        <family val="2"/>
      </rPr>
      <t xml:space="preserve">입력 화면</t>
    </r>
  </si>
  <si>
    <t xml:space="preserve">근태관리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</si>
  <si>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근태관리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</si>
  <si>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출근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퇴근 시 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웹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에서 버튼 하나로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</si>
  <si>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연차를 신청하면 지점 관리자가 승인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반려할 수 있길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</si>
  <si>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직원들의 이번 달 근태 현황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한눈에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</si>
  <si>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오늘 업무일지를 작성해 관리자와 공유하고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</si>
  <si>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/attendance</t>
  </si>
  <si>
    <t xml:space="preserve">/attendance/absence-confirm</t>
  </si>
  <si>
    <t xml:space="preserve">/attendance/absence-preview</t>
  </si>
  <si>
    <t xml:space="preserve">/attendance/check-in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</si>
  <si>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</si>
  <si>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/attendance/check-out</t>
  </si>
  <si>
    <t xml:space="preserve">/attendance/summary</t>
  </si>
  <si>
    <t xml:space="preserve">/leave-requests</t>
  </si>
  <si>
    <t xml:space="preserve">/leave-requests/:id/approve</t>
  </si>
  <si>
    <t xml:space="preserve">/leave-requests/:id/reject</t>
  </si>
  <si>
    <t xml:space="preserve">/leave-balance/:staffId</t>
  </si>
  <si>
    <t xml:space="preserve">/work-logs</t>
  </si>
  <si>
    <t xml:space="preserve">ADR-ATT-01</t>
  </si>
  <si>
    <r>
      <rPr>
        <sz val="10"/>
        <color rgb="FF14191C"/>
        <rFont val="Noto Sans CJK SC"/>
        <family val="2"/>
      </rPr>
      <t xml:space="preserve">연차 차감은 승인 시점에만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반려 복구 로직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</si>
  <si>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ADR-ATT-02</t>
  </si>
  <si>
    <r>
      <rPr>
        <sz val="10"/>
        <color rgb="FF14191C"/>
        <rFont val="Noto Sans CJK SC"/>
        <family val="2"/>
      </rPr>
      <t xml:space="preserve">결근은 관리자의 명시적 확정 액션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배치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</si>
  <si>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ADR-ATT-03</t>
  </si>
  <si>
    <t xml:space="preserve">근태 기록 지점 귀속 — 그 날짜의 파견 지점 스냅샷</t>
  </si>
  <si>
    <r>
      <rPr>
        <sz val="10"/>
        <color rgb="FF14191C"/>
        <rFont val="Noto Sans CJK SC"/>
        <family val="2"/>
      </rPr>
      <t xml:space="preserve">근태 정정 이력</t>
    </r>
    <r>
      <rPr>
        <sz val="10"/>
        <color rgb="FF14191C"/>
        <rFont val="맑은 고딕"/>
        <family val="0"/>
        <charset val="1"/>
      </rPr>
      <t xml:space="preserve">(AuditLog). </t>
    </r>
    <r>
      <rPr>
        <sz val="10"/>
        <color rgb="FF14191C"/>
        <rFont val="Noto Sans CJK SC"/>
        <family val="2"/>
      </rPr>
      <t xml:space="preserve">업무일지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건은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대신 </t>
    </r>
    <r>
      <rPr>
        <sz val="10"/>
        <color rgb="FF14191C"/>
        <rFont val="맑은 고딕"/>
        <family val="0"/>
        <charset val="1"/>
      </rPr>
      <t xml:space="preserve">advisory lock(D33) — </t>
    </r>
    <r>
      <rPr>
        <sz val="10"/>
        <color rgb="FF14191C"/>
        <rFont val="Noto Sans CJK SC"/>
        <family val="2"/>
      </rPr>
      <t xml:space="preserve">제약 추가는 승인 대기</t>
    </r>
  </si>
  <si>
    <t xml:space="preserve">게시판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</si>
  <si>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게시판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</si>
  <si>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특정 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공지를 올리고 필요시 교육자료 파일을 첨부하고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</si>
  <si>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 공지를 확인하고 우리 지점 회원들에게 전달할 공지를 따로 작성하고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</si>
  <si>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내가 다니는 지점의 공지사항을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</si>
  <si>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/posts</t>
  </si>
  <si>
    <t xml:space="preserve">DELETE</t>
  </si>
  <si>
    <t xml:space="preserve">/posts/:id</t>
  </si>
  <si>
    <t xml:space="preserve">ADR-BRD-01</t>
  </si>
  <si>
    <r>
      <rPr>
        <sz val="10"/>
        <color rgb="FF14191C"/>
        <rFont val="Noto Sans CJK SC"/>
        <family val="2"/>
      </rPr>
      <t xml:space="preserve">회원 대상 공지 가시성 필터 </t>
    </r>
    <r>
      <rPr>
        <sz val="10"/>
        <color rgb="FF14191C"/>
        <rFont val="맑은 고딕"/>
        <family val="0"/>
        <charset val="1"/>
      </rPr>
      <t xml:space="preserve">visibleToMember</t>
    </r>
  </si>
  <si>
    <t xml:space="preserve">ADR-BRD-02</t>
  </si>
  <si>
    <r>
      <rPr>
        <sz val="10"/>
        <color rgb="FF14191C"/>
        <rFont val="Noto Sans CJK SC"/>
        <family val="2"/>
      </rPr>
      <t xml:space="preserve">목록 페이지네이션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 </t>
    </r>
    <r>
      <rPr>
        <sz val="10"/>
        <color rgb="FF14191C"/>
        <rFont val="맑은 고딕"/>
        <family val="0"/>
        <charset val="1"/>
      </rPr>
      <t xml:space="preserve">limit 20)</t>
    </r>
  </si>
  <si>
    <r>
      <rPr>
        <sz val="10"/>
        <color rgb="FF14191C"/>
        <rFont val="Noto Sans CJK SC"/>
        <family val="2"/>
      </rPr>
      <t xml:space="preserve">첨부파일 업로드</t>
    </r>
    <r>
      <rPr>
        <sz val="10"/>
        <color rgb="FF14191C"/>
        <rFont val="맑은 고딕"/>
        <family val="0"/>
        <charset val="1"/>
      </rPr>
      <t xml:space="preserve">, pinned·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 제외</t>
    </r>
    <r>
      <rPr>
        <sz val="10"/>
        <color rgb="FF14191C"/>
        <rFont val="맑은 고딕"/>
        <family val="0"/>
        <charset val="1"/>
      </rPr>
      <t xml:space="preserve">), category </t>
    </r>
    <r>
      <rPr>
        <sz val="10"/>
        <color rgb="FF14191C"/>
        <rFont val="Noto Sans CJK SC"/>
        <family val="2"/>
      </rPr>
      <t xml:space="preserve">필터 </t>
    </r>
    <r>
      <rPr>
        <sz val="10"/>
        <color rgb="FF14191C"/>
        <rFont val="맑은 고딕"/>
        <family val="0"/>
        <charset val="1"/>
      </rPr>
      <t xml:space="preserve">UI, TrainingLog</t>
    </r>
  </si>
  <si>
    <t xml:space="preserve">회원관리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</si>
  <si>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회원관리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</si>
  <si>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앱에서 회원가입 후 내가 다니는 지점을 선택하고 이용을 시작하고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</si>
  <si>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방문 회원을 현장에서 직접 등록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오프라인 등록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할 수도 있어야 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</si>
  <si>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회원의 수강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/PT </t>
    </r>
    <r>
      <rPr>
        <sz val="10"/>
        <color rgb="FF14191C"/>
        <rFont val="Noto Sans CJK SC"/>
        <family val="2"/>
      </rPr>
      <t xml:space="preserve">잔여 세션을 한 화면에서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</si>
  <si>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잔여 세션이 몇 회 남았는지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</si>
  <si>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/members</t>
  </si>
  <si>
    <t xml:space="preserve">/members/:id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</si>
  <si>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</t>
    </r>
  </si>
  <si>
    <t xml:space="preserve">/members/:id/enrollments</t>
  </si>
  <si>
    <t xml:space="preserve">/members/:id/pt-sessions</t>
  </si>
  <si>
    <t xml:space="preserve">/members/:id/pt-sessions/:sessionId/use</t>
  </si>
  <si>
    <t xml:space="preserve">/members/:id/status</t>
  </si>
  <si>
    <t xml:space="preserve">/members/link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</si>
  <si>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 앱 범위 제외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</si>
  <si>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/members/register</t>
  </si>
  <si>
    <t xml:space="preserve">ADR-MEM-01</t>
  </si>
  <si>
    <r>
      <rPr>
        <sz val="10"/>
        <color rgb="FF14191C"/>
        <rFont val="Noto Sans CJK SC"/>
        <family val="2"/>
      </rPr>
      <t xml:space="preserve">오프라인↔앱 연동 — 회원번호</t>
    </r>
    <r>
      <rPr>
        <sz val="10"/>
        <color rgb="FF14191C"/>
        <rFont val="맑은 고딕"/>
        <family val="0"/>
        <charset val="1"/>
      </rPr>
      <t xml:space="preserve">+</t>
    </r>
    <r>
      <rPr>
        <sz val="10"/>
        <color rgb="FF14191C"/>
        <rFont val="Noto Sans CJK SC"/>
        <family val="2"/>
      </rPr>
      <t xml:space="preserve">전화번호 동시 일치</t>
    </r>
  </si>
  <si>
    <t xml:space="preserve">ADR-MEM-02</t>
  </si>
  <si>
    <r>
      <rPr>
        <sz val="10"/>
        <color rgb="FF14191C"/>
        <rFont val="Noto Sans CJK SC"/>
        <family val="2"/>
      </rPr>
      <t xml:space="preserve">탈퇴 회원 이메일 재사용 — 활성 계정끼리만 부분 </t>
    </r>
    <r>
      <rPr>
        <sz val="10"/>
        <color rgb="FF14191C"/>
        <rFont val="맑은 고딕"/>
        <family val="0"/>
        <charset val="1"/>
      </rPr>
      <t xml:space="preserve">unique</t>
    </r>
  </si>
  <si>
    <t xml:space="preserve">ADR-MEM-03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</si>
  <si>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요약 카운트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탭별 지연 로드</t>
    </r>
  </si>
  <si>
    <r>
      <rPr>
        <sz val="10"/>
        <color rgb="FF14191C"/>
        <rFont val="Noto Sans CJK SC"/>
        <family val="2"/>
      </rPr>
      <t xml:space="preserve">연동 승인 플로우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휴면 전환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전화번호 마스킹 </t>
    </r>
    <r>
      <rPr>
        <sz val="10"/>
        <color rgb="FF14191C"/>
        <rFont val="맑은 고딕"/>
        <family val="0"/>
        <charset val="1"/>
      </rPr>
      <t xml:space="preserve">UI</t>
    </r>
  </si>
  <si>
    <t xml:space="preserve">예약및결제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</si>
  <si>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예약및결제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</si>
  <si>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원하는 프로그램의 회차를 조회하고 예약하고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</si>
  <si>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유료 회차는 예약 후 모의결제로 확정하고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</si>
  <si>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사정이 생기면 예약을 취소하고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마감시간 전이면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환불받고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</si>
  <si>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회원이 현장에 도착하면 체크인 처리하고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</si>
  <si>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현황을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지점은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</si>
  <si>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/reservations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</si>
  <si>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</si>
  <si>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회원</t>
  </si>
  <si>
    <t xml:space="preserve">/reservations/:id/cancel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</si>
  <si>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</si>
  <si>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/reservations/:id/check-in</t>
  </si>
  <si>
    <t xml:space="preserve">/payments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</si>
  <si>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</si>
  <si>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/payments/:reservationId/mock-pay</t>
  </si>
  <si>
    <t xml:space="preserve">ADR-RSV-01</t>
  </si>
  <si>
    <r>
      <rPr>
        <sz val="10"/>
        <color rgb="FF14191C"/>
        <rFont val="Noto Sans CJK SC"/>
        <family val="2"/>
      </rPr>
      <t xml:space="preserve">정원 초과 방지 — 회차 행 락</t>
    </r>
    <r>
      <rPr>
        <sz val="10"/>
        <color rgb="FF14191C"/>
        <rFont val="맑은 고딕"/>
        <family val="0"/>
        <charset val="1"/>
      </rPr>
      <t xml:space="preserve">(lockScheduleSlot)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</si>
  <si>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(D32)</t>
    </r>
  </si>
  <si>
    <t xml:space="preserve">ADR-RSV-02</t>
  </si>
  <si>
    <r>
      <rPr>
        <sz val="10"/>
        <color rgb="FF14191C"/>
        <rFont val="Noto Sans CJK SC"/>
        <family val="2"/>
      </rPr>
      <t xml:space="preserve">중복 예약 — 앱 체크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 이중화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</si>
  <si>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(D27·D32)</t>
    </r>
  </si>
  <si>
    <t xml:space="preserve">ADR-RSV-03</t>
  </si>
  <si>
    <r>
      <rPr>
        <sz val="10"/>
        <color rgb="FF14191C"/>
        <rFont val="Noto Sans CJK SC"/>
        <family val="2"/>
      </rPr>
      <t xml:space="preserve">결제 </t>
    </r>
    <r>
      <rPr>
        <sz val="10"/>
        <color rgb="FF14191C"/>
        <rFont val="맑은 고딕"/>
        <family val="0"/>
        <charset val="1"/>
      </rPr>
      <t xml:space="preserve">PaymentGateway </t>
    </r>
    <r>
      <rPr>
        <sz val="10"/>
        <color rgb="FF14191C"/>
        <rFont val="Noto Sans CJK SC"/>
        <family val="2"/>
      </rPr>
      <t xml:space="preserve">어댑터</t>
    </r>
  </si>
  <si>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(ADR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</si>
  <si>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결제 미완료 자동취소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패키지 결제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매출 집계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</si>
  <si>
    <t xml:space="preserve">강사프로그램게시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</si>
  <si>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강사프로그램게시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</si>
  <si>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강사를 등록하고 프로필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경력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전문분야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</si>
  <si>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새 프로그램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개설하고 시간표를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</si>
  <si>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연령대로 프로그램을 필터링해서 찾고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</si>
  <si>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/programs</t>
  </si>
  <si>
    <t xml:space="preserve">/programs/:id</t>
  </si>
  <si>
    <t xml:space="preserve">/programs/:id/slots</t>
  </si>
  <si>
    <t xml:space="preserve">/programs/:id/status</t>
  </si>
  <si>
    <t xml:space="preserve">/instructors</t>
  </si>
  <si>
    <t xml:space="preserve">/instructors/:id</t>
  </si>
  <si>
    <t xml:space="preserve">/branches/:branchId/programs/summary</t>
  </si>
  <si>
    <t xml:space="preserve">ADR-PRG-01</t>
  </si>
  <si>
    <r>
      <rPr>
        <sz val="10"/>
        <color rgb="FF14191C"/>
        <rFont val="맑은 고딕"/>
        <family val="0"/>
        <charset val="1"/>
      </rPr>
      <t xml:space="preserve">PAID_SESSION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capacity </t>
    </r>
    <r>
      <rPr>
        <sz val="10"/>
        <color rgb="FF14191C"/>
        <rFont val="Noto Sans CJK SC"/>
        <family val="2"/>
      </rPr>
      <t xml:space="preserve">필수 검증을 생성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 시점에</t>
    </r>
  </si>
  <si>
    <t xml:space="preserve">ADR-PRG-02</t>
  </si>
  <si>
    <t xml:space="preserve">상태 전이 응답에 영향받는 확정 예약 포함</t>
  </si>
  <si>
    <t xml:space="preserve">ADR-PRG-03</t>
  </si>
  <si>
    <r>
      <rPr>
        <sz val="10"/>
        <color rgb="FF14191C"/>
        <rFont val="맑은 고딕"/>
        <family val="0"/>
        <charset val="1"/>
      </rPr>
      <t xml:space="preserve">facilityId </t>
    </r>
    <r>
      <rPr>
        <sz val="10"/>
        <color rgb="FF14191C"/>
        <rFont val="Noto Sans CJK SC"/>
        <family val="2"/>
      </rPr>
      <t xml:space="preserve">지점 일치 검증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</si>
  <si>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(+DB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D28)</t>
    </r>
  </si>
  <si>
    <r>
      <rPr>
        <sz val="10"/>
        <color rgb="FF14191C"/>
        <rFont val="Noto Sans CJK SC"/>
        <family val="2"/>
      </rPr>
      <t xml:space="preserve">요일 템플릿 회차 일괄 생성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 시간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강사 정산</t>
    </r>
  </si>
  <si>
    <t xml:space="preserve">혼잡도관리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</si>
  <si>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혼잡도관리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</si>
  <si>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헬스장에 가기 전 앱에서 지금 얼마나 붐비는지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</si>
  <si>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계산된 혼잡도가 실제와 다르면 수동으로 보정하고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특별 이벤트로 사람이 몰릴 때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</si>
  <si>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시설별 정원 대비 이용률을 설정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</si>
  <si>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/facilities</t>
  </si>
  <si>
    <t xml:space="preserve">/facilities/:id</t>
  </si>
  <si>
    <t xml:space="preserve">/facilities/:id/congestion/manual</t>
  </si>
  <si>
    <t xml:space="preserve">ADR-FAC-01</t>
  </si>
  <si>
    <r>
      <rPr>
        <sz val="10"/>
        <color rgb="FF14191C"/>
        <rFont val="Noto Sans CJK SC"/>
        <family val="2"/>
      </rPr>
      <t xml:space="preserve">혼잡도 값에 </t>
    </r>
    <r>
      <rPr>
        <sz val="10"/>
        <color rgb="FF14191C"/>
        <rFont val="맑은 고딕"/>
        <family val="0"/>
        <charset val="1"/>
      </rPr>
      <t xml:space="preserve">lastUpdatedAt</t>
    </r>
  </si>
  <si>
    <t xml:space="preserve">ADR-FAC-02</t>
  </si>
  <si>
    <r>
      <rPr>
        <sz val="10"/>
        <color rgb="FF14191C"/>
        <rFont val="맑은 고딕"/>
        <family val="0"/>
        <charset val="1"/>
      </rPr>
      <t xml:space="preserve">Facility.isActive + </t>
    </r>
    <r>
      <rPr>
        <sz val="10"/>
        <color rgb="FF14191C"/>
        <rFont val="Noto Sans CJK SC"/>
        <family val="2"/>
      </rPr>
      <t xml:space="preserve">비활성화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재활성화</t>
    </r>
  </si>
  <si>
    <t xml:space="preserve">ADR-FAC-03</t>
  </si>
  <si>
    <r>
      <rPr>
        <sz val="10"/>
        <color rgb="FF14191C"/>
        <rFont val="Noto Sans CJK SC"/>
        <family val="2"/>
      </rPr>
      <t xml:space="preserve">계약 종료 지점의 시설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보정 차단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</si>
  <si>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주기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자동 마감 — 구현하려면 사용자 승인</t>
    </r>
  </si>
  <si>
    <t xml:space="preserve">자원문서관리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</si>
  <si>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자원문서관리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8d87234)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</si>
  <si>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구매한 운동기구를 특정 지점에 자산으로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</si>
  <si>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자산 목록과 각 자산의 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정상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수리중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폐기대상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폐기됨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</si>
  <si>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위탁계약 체결 시 계약서 파일을 해당 지점에 연결해 보관하고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</si>
  <si>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직원의 근로계약서를 업로드하고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법정 보존기간이 지나면 알림을 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</si>
  <si>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지점과 관련된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 문서 조회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</si>
  <si>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/assets</t>
  </si>
  <si>
    <t xml:space="preserve">/assets/:id</t>
  </si>
  <si>
    <t xml:space="preserve">/assets/:id/status</t>
  </si>
  <si>
    <t xml:space="preserve">/documents</t>
  </si>
  <si>
    <t xml:space="preserve">/documents/:id</t>
  </si>
  <si>
    <t xml:space="preserve">/documents/retention-alerts</t>
  </si>
  <si>
    <t xml:space="preserve">ADR-RES-01</t>
  </si>
  <si>
    <r>
      <rPr>
        <sz val="10"/>
        <color rgb="FF14191C"/>
        <rFont val="Noto Sans CJK SC"/>
        <family val="2"/>
      </rPr>
      <t xml:space="preserve">계약종료 지점 신규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잔여 자산 경고</t>
    </r>
  </si>
  <si>
    <t xml:space="preserve">ADR-RES-02</t>
  </si>
  <si>
    <r>
      <rPr>
        <sz val="10"/>
        <color rgb="FF14191C"/>
        <rFont val="Noto Sans CJK SC"/>
        <family val="2"/>
      </rPr>
      <t xml:space="preserve">퇴사 시 </t>
    </r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보존기한 재계산</t>
    </r>
  </si>
  <si>
    <t xml:space="preserve">ADR-RES-03</t>
  </si>
  <si>
    <r>
      <rPr>
        <sz val="10"/>
        <color rgb="FF14191C"/>
        <rFont val="맑은 고딕"/>
        <family val="0"/>
        <charset val="1"/>
      </rPr>
      <t xml:space="preserve">CONTRACT </t>
    </r>
    <r>
      <rPr>
        <sz val="10"/>
        <color rgb="FF14191C"/>
        <rFont val="Noto Sans CJK SC"/>
        <family val="2"/>
      </rPr>
      <t xml:space="preserve">문서 보존기한 서버 필수</t>
    </r>
  </si>
  <si>
    <r>
      <rPr>
        <b val="true"/>
        <sz val="16"/>
        <color rgb="FF1E3A5F"/>
        <rFont val="Noto Sans CJK SC"/>
        <family val="2"/>
      </rPr>
      <t xml:space="preserve">미구현 — </t>
    </r>
    <r>
      <rPr>
        <b val="true"/>
        <sz val="16"/>
        <color rgb="FF1E3A5F"/>
        <rFont val="맑은 고딕"/>
        <family val="0"/>
        <charset val="1"/>
      </rPr>
      <t xml:space="preserve">RFP</t>
    </r>
    <r>
      <rPr>
        <b val="true"/>
        <sz val="16"/>
        <color rgb="FF1E3A5F"/>
        <rFont val="Noto Sans CJK SC"/>
        <family val="2"/>
      </rPr>
      <t xml:space="preserve">가 요구하는데 아직 없는 것</t>
    </r>
  </si>
  <si>
    <r>
      <rPr>
        <sz val="10"/>
        <color rgb="FF4B5563"/>
        <rFont val="Noto Sans CJK SC"/>
        <family val="2"/>
      </rPr>
      <t xml:space="preserve">의도적 범위 제외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다음 시트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와 구분한다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§2-3(</t>
    </r>
    <r>
      <rPr>
        <sz val="10"/>
        <color rgb="FF4B5563"/>
        <rFont val="Noto Sans CJK SC"/>
        <family val="2"/>
      </rPr>
      <t xml:space="preserve">코드 실측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</si>
  <si>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ID</t>
  </si>
  <si>
    <t xml:space="preserve">RFP</t>
  </si>
  <si>
    <t xml:space="preserve">항목</t>
  </si>
  <si>
    <r>
      <rPr>
        <b val="true"/>
        <sz val="10"/>
        <color rgb="FFFFFFFF"/>
        <rFont val="Noto Sans CJK SC"/>
        <family val="2"/>
      </rPr>
      <t xml:space="preserve">지금 상태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실측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</si>
  <si>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</t>
    </r>
  </si>
  <si>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</si>
  <si>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</si>
  <si>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</si>
  <si>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t xml:space="preserve">인사 변경 신청 → 관리자 승인</t>
  </si>
  <si>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</si>
  <si>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t xml:space="preserve">본사→현장 교육자료 첨부</t>
  </si>
  <si>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</si>
  <si>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</t>
    </r>
  </si>
  <si>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</si>
  <si>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</t>
    </r>
  </si>
  <si>
    <t xml:space="preserve">회차 목록 표로만 구현했다</t>
  </si>
  <si>
    <t xml:space="preserve">개인정보처리방침</t>
  </si>
  <si>
    <t xml:space="preserve">별도 문서가 없다</t>
  </si>
  <si>
    <r>
      <rPr>
        <b val="true"/>
        <sz val="12"/>
        <color rgb="FF1E3A5F"/>
        <rFont val="맑은 고딕"/>
        <family val="0"/>
        <charset val="1"/>
      </rPr>
      <t xml:space="preserve">API</t>
    </r>
    <r>
      <rPr>
        <b val="true"/>
        <sz val="12"/>
        <color rgb="FF1E3A5F"/>
        <rFont val="Noto Sans CJK SC"/>
        <family val="2"/>
      </rPr>
      <t xml:space="preserve">는 있고 화면이 없는 것</t>
    </r>
  </si>
  <si>
    <r>
      <rPr>
        <sz val="10"/>
        <color rgb="FF14191C"/>
        <rFont val="Noto Sans CJK SC"/>
        <family val="2"/>
      </rPr>
      <t xml:space="preserve">직원 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근태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자산 정보 수정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비밀번호 변경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 앱 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연동은 회원 앱 범위 제외에 따른 것이다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</si>
  <si>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설계는 있지만 미구현인 도메인 규칙</t>
  </si>
  <si>
    <r>
      <rPr>
        <sz val="10"/>
        <color rgb="FF14191C"/>
        <rFont val="Noto Sans CJK SC"/>
        <family val="2"/>
      </rPr>
      <t xml:space="preserve">지점 계약이 종료</t>
    </r>
    <r>
      <rPr>
        <sz val="10"/>
        <color rgb="FF14191C"/>
        <rFont val="맑은 고딕"/>
        <family val="0"/>
        <charset val="1"/>
      </rPr>
      <t xml:space="preserve">(TERMINATED)</t>
    </r>
    <r>
      <rPr>
        <sz val="10"/>
        <color rgb="FF14191C"/>
        <rFont val="Noto Sans CJK SC"/>
        <family val="2"/>
      </rPr>
      <t xml:space="preserve">되면 그 지점에 파견 중인 직원의 파견을 종료하고 재배치 대상에 올리는 처리</t>
    </r>
    <r>
      <rPr>
        <sz val="10"/>
        <color rgb="FF14191C"/>
        <rFont val="맑은 고딕"/>
        <family val="0"/>
        <charset val="1"/>
      </rPr>
      <t xml:space="preserve">(architecture/entities.md §2-1). </t>
    </r>
    <r>
      <rPr>
        <sz val="10"/>
        <color rgb="FF14191C"/>
        <rFont val="Noto Sans CJK SC"/>
        <family val="2"/>
      </rPr>
      <t xml:space="preserve">지금은 신규 활동 차단</t>
    </r>
    <r>
      <rPr>
        <sz val="10"/>
        <color rgb="FF14191C"/>
        <rFont val="맑은 고딕"/>
        <family val="0"/>
        <charset val="1"/>
      </rPr>
      <t xml:space="preserve">(409)</t>
    </r>
    <r>
      <rPr>
        <sz val="10"/>
        <color rgb="FF14191C"/>
        <rFont val="Noto Sans CJK SC"/>
        <family val="2"/>
      </rPr>
      <t xml:space="preserve">만 동작한다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</si>
  <si>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범위 제외 — 의도적으로 만들지 않은 것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</si>
  <si>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§2-4, </t>
    </r>
    <r>
      <rPr>
        <sz val="10"/>
        <color rgb="FF4B5563"/>
        <rFont val="Noto Sans CJK SC"/>
        <family val="2"/>
      </rPr>
      <t xml:space="preserve">각 도메인 문서 부록 </t>
    </r>
    <r>
      <rPr>
        <sz val="10"/>
        <color rgb="FF4B5563"/>
        <rFont val="맑은 고딕"/>
        <family val="0"/>
        <charset val="1"/>
      </rPr>
      <t xml:space="preserve">A-8</t>
    </r>
  </si>
  <si>
    <t xml:space="preserve">범위 제외 항목</t>
  </si>
  <si>
    <t xml:space="preserve">향후 확장</t>
  </si>
  <si>
    <r>
      <rPr>
        <sz val="10"/>
        <color rgb="FF14191C"/>
        <rFont val="맑은 고딕"/>
        <family val="0"/>
        <charset val="1"/>
      </rPr>
      <t xml:space="preserve">01 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</si>
  <si>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범용 계정 발급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목록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회 잠금</t>
    </r>
  </si>
  <si>
    <t xml:space="preserve">필드 추가 수준으로 가능</t>
  </si>
  <si>
    <r>
      <rPr>
        <sz val="10"/>
        <color rgb="FF14191C"/>
        <rFont val="맑은 고딕"/>
        <family val="0"/>
        <charset val="1"/>
      </rPr>
      <t xml:space="preserve">03 </t>
    </r>
    <r>
      <rPr>
        <sz val="10"/>
        <color rgb="FF14191C"/>
        <rFont val="Noto Sans CJK SC"/>
        <family val="2"/>
      </rPr>
      <t xml:space="preserve">근태관리</t>
    </r>
  </si>
  <si>
    <t xml:space="preserve">자동 결근 배치</t>
  </si>
  <si>
    <t xml:space="preserve">조회 시점 계산 또는 스케줄러 도입 시</t>
  </si>
  <si>
    <r>
      <rPr>
        <sz val="10"/>
        <color rgb="FF14191C"/>
        <rFont val="맑은 고딕"/>
        <family val="0"/>
        <charset val="1"/>
      </rPr>
      <t xml:space="preserve">04 </t>
    </r>
    <r>
      <rPr>
        <sz val="10"/>
        <color rgb="FF14191C"/>
        <rFont val="Noto Sans CJK SC"/>
        <family val="2"/>
      </rPr>
      <t xml:space="preserve">게시판</t>
    </r>
  </si>
  <si>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상단 고정</t>
    </r>
  </si>
  <si>
    <t xml:space="preserve">가능</t>
  </si>
  <si>
    <r>
      <rPr>
        <sz val="10"/>
        <color rgb="FF14191C"/>
        <rFont val="맑은 고딕"/>
        <family val="0"/>
        <charset val="1"/>
      </rPr>
      <t xml:space="preserve">06 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</si>
  <si>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  <r>
      <rPr>
        <sz val="10"/>
        <color rgb="FF14191C"/>
        <rFont val="맑은 고딕"/>
        <family val="0"/>
        <charset val="1"/>
      </rPr>
      <t xml:space="preserve">(commissionRate </t>
    </r>
    <r>
      <rPr>
        <sz val="10"/>
        <color rgb="FF14191C"/>
        <rFont val="Noto Sans CJK SC"/>
        <family val="2"/>
      </rPr>
      <t xml:space="preserve">필드</t>
    </r>
    <r>
      <rPr>
        <sz val="10"/>
        <color rgb="FF14191C"/>
        <rFont val="맑은 고딕"/>
        <family val="0"/>
        <charset val="1"/>
      </rPr>
      <t xml:space="preserve">·UI</t>
    </r>
    <r>
      <rPr>
        <sz val="10"/>
        <color rgb="FF14191C"/>
        <rFont val="Noto Sans CJK SC"/>
        <family val="2"/>
      </rPr>
      <t xml:space="preserve">도 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노쇼 자동처리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결제 </t>
    </r>
    <r>
      <rPr>
        <sz val="10"/>
        <color rgb="FF14191C"/>
        <rFont val="맑은 고딕"/>
        <family val="0"/>
        <charset val="1"/>
      </rPr>
      <t xml:space="preserve">TTL</t>
    </r>
  </si>
  <si>
    <r>
      <rPr>
        <sz val="10"/>
        <color rgb="FF14191C"/>
        <rFont val="Noto Sans CJK SC"/>
        <family val="2"/>
      </rPr>
      <t xml:space="preserve">정산 필요 시 모델 복원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나머지는 스케줄러 도입 시</t>
    </r>
  </si>
  <si>
    <r>
      <rPr>
        <sz val="10"/>
        <color rgb="FF14191C"/>
        <rFont val="맑은 고딕"/>
        <family val="0"/>
        <charset val="1"/>
      </rPr>
      <t xml:space="preserve">07 </t>
    </r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</si>
  <si>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시설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휴강 예약자 알림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</si>
  <si>
    <r>
      <rPr>
        <sz val="10"/>
        <color rgb="FF14191C"/>
        <rFont val="Noto Sans CJK SC"/>
        <family val="2"/>
      </rPr>
      <t xml:space="preserve">알림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스케줄러 도입 시</t>
    </r>
  </si>
  <si>
    <r>
      <rPr>
        <sz val="10"/>
        <color rgb="FF14191C"/>
        <rFont val="맑은 고딕"/>
        <family val="0"/>
        <charset val="1"/>
      </rPr>
      <t xml:space="preserve">08 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</si>
  <si>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마감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이용자 목록</t>
    </r>
  </si>
  <si>
    <t xml:space="preserve">회원 앱 착수 후 체크인 데이터 위에 확장</t>
  </si>
  <si>
    <r>
      <rPr>
        <sz val="10"/>
        <color rgb="FF14191C"/>
        <rFont val="맑은 고딕"/>
        <family val="0"/>
        <charset val="1"/>
      </rPr>
      <t xml:space="preserve">10 </t>
    </r>
    <r>
      <rPr>
        <sz val="10"/>
        <color rgb="FF14191C"/>
        <rFont val="Noto Sans CJK SC"/>
        <family val="2"/>
      </rPr>
      <t xml:space="preserve">자원문서관리</t>
    </r>
  </si>
  <si>
    <r>
      <rPr>
        <sz val="10"/>
        <color rgb="FF14191C"/>
        <rFont val="Noto Sans CJK SC"/>
        <family val="2"/>
      </rPr>
      <t xml:space="preserve">감가상각 배치</t>
    </r>
    <r>
      <rPr>
        <sz val="10"/>
        <color rgb="FF14191C"/>
        <rFont val="맑은 고딕"/>
        <family val="0"/>
        <charset val="1"/>
      </rPr>
      <t xml:space="preserve">(bookValue), STAFF </t>
    </r>
    <r>
      <rPr>
        <sz val="10"/>
        <color rgb="FF14191C"/>
        <rFont val="Noto Sans CJK SC"/>
        <family val="2"/>
      </rPr>
      <t xml:space="preserve">본인 인사서류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실무 확장 목록 전체</t>
    </r>
    <r>
      <rPr>
        <sz val="10"/>
        <color rgb="FF14191C"/>
        <rFont val="맑은 고딕"/>
        <family val="0"/>
        <charset val="1"/>
      </rPr>
      <t xml:space="preserve">(reference/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§7)</t>
    </r>
  </si>
  <si>
    <r>
      <rPr>
        <sz val="10"/>
        <color rgb="FF14191C"/>
        <rFont val="Noto Sans CJK SC"/>
        <family val="2"/>
      </rPr>
      <t xml:space="preserve">소유 구분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이관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점검 이력 등은 가치가 커서 우선 후보</t>
    </r>
  </si>
  <si>
    <t xml:space="preserve">회원 앱</t>
  </si>
  <si>
    <r>
      <rPr>
        <sz val="10"/>
        <color rgb="FF14191C"/>
        <rFont val="Noto Sans CJK SC"/>
        <family val="2"/>
      </rPr>
      <t xml:space="preserve">회원 앱 전체</t>
    </r>
    <r>
      <rPr>
        <sz val="10"/>
        <color rgb="FF14191C"/>
        <rFont val="맑은 고딕"/>
        <family val="0"/>
        <charset val="1"/>
      </rPr>
      <t xml:space="preserve">(2026-09-30 </t>
    </r>
    <r>
      <rPr>
        <sz val="10"/>
        <color rgb="FF14191C"/>
        <rFont val="Noto Sans CJK SC"/>
        <family val="2"/>
      </rPr>
      <t xml:space="preserve">추가</t>
    </r>
    <r>
      <rPr>
        <sz val="10"/>
        <color rgb="FF14191C"/>
        <rFont val="맑은 고딕"/>
        <family val="0"/>
        <charset val="1"/>
      </rPr>
      <t xml:space="preserve">, 2-1 D37): apps/member-app(React Native)</t>
    </r>
    <r>
      <rPr>
        <sz val="10"/>
        <color rgb="FF14191C"/>
        <rFont val="Noto Sans CJK SC"/>
        <family val="2"/>
      </rPr>
      <t xml:space="preserve">은 개발 범위에서 뺀다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웹</t>
    </r>
    <r>
      <rPr>
        <sz val="10"/>
        <color rgb="FF14191C"/>
        <rFont val="맑은 고딕"/>
        <family val="0"/>
        <charset val="1"/>
      </rPr>
      <t xml:space="preserve">(admin-web)</t>
    </r>
    <r>
      <rPr>
        <sz val="10"/>
        <color rgb="FF14191C"/>
        <rFont val="Noto Sans CJK SC"/>
        <family val="2"/>
      </rPr>
      <t xml:space="preserve">에 집중한다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(MEMBER) </t>
    </r>
    <r>
      <rPr>
        <sz val="10"/>
        <color rgb="FF14191C"/>
        <rFont val="Noto Sans CJK SC"/>
        <family val="2"/>
      </rPr>
      <t xml:space="preserve">역할의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이미 있으므로 그대로 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연동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게시판 조회 — 테스트가 계속 본다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다만 회원이 직접 쓰는 화면은 만들지 않는다</t>
    </r>
    <r>
      <rPr>
        <sz val="10"/>
        <color rgb="FF14191C"/>
        <rFont val="맑은 고딕"/>
        <family val="0"/>
        <charset val="1"/>
      </rPr>
      <t xml:space="preserve">. RFP 6</t>
    </r>
    <r>
      <rPr>
        <sz val="10"/>
        <color rgb="FF14191C"/>
        <rFont val="Noto Sans CJK SC"/>
        <family val="2"/>
      </rPr>
      <t xml:space="preserve">번의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모바일결제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모의결제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까지만 있는 상태로 남는다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 앱을 다시 넣게 되면 </t>
    </r>
    <r>
      <rPr>
        <sz val="10"/>
        <color rgb="FF14191C"/>
        <rFont val="맑은 고딕"/>
        <family val="0"/>
        <charset val="1"/>
      </rPr>
      <t xml:space="preserve">D37 </t>
    </r>
    <r>
      <rPr>
        <sz val="10"/>
        <color rgb="FF14191C"/>
        <rFont val="Noto Sans CJK SC"/>
        <family val="2"/>
      </rPr>
      <t xml:space="preserve">결정 </t>
    </r>
    <r>
      <rPr>
        <sz val="10"/>
        <color rgb="FF14191C"/>
        <rFont val="맑은 고딕"/>
        <family val="0"/>
        <charset val="1"/>
      </rPr>
      <t xml:space="preserve">2(</t>
    </r>
    <r>
      <rPr>
        <sz val="10"/>
        <color rgb="FF14191C"/>
        <rFont val="Noto Sans CJK SC"/>
        <family val="2"/>
      </rPr>
      <t xml:space="preserve">무료 요청 한도 초과 → </t>
    </r>
    <r>
      <rPr>
        <sz val="10"/>
        <color rgb="FF14191C"/>
        <rFont val="맑은 고딕"/>
        <family val="0"/>
        <charset val="1"/>
      </rPr>
      <t xml:space="preserve">Workers </t>
    </r>
    <r>
      <rPr>
        <sz val="10"/>
        <color rgb="FF14191C"/>
        <rFont val="Noto Sans CJK SC"/>
        <family val="2"/>
      </rPr>
      <t xml:space="preserve">유료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와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이전 조건을 먼저 다시 본다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보류 이유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회원 앱을 받으면 하루 요청이 약 </t>
    </r>
    <r>
      <rPr>
        <sz val="10"/>
        <color rgb="FF14191C"/>
        <rFont val="맑은 고딕"/>
        <family val="0"/>
        <charset val="1"/>
      </rPr>
      <t xml:space="preserve">19.6</t>
    </r>
    <r>
      <rPr>
        <sz val="10"/>
        <color rgb="FF14191C"/>
        <rFont val="Noto Sans CJK SC"/>
        <family val="2"/>
      </rPr>
      <t xml:space="preserve">만 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계산값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으로 엣지 무료 한도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Noto Sans CJK SC"/>
        <family val="2"/>
      </rPr>
      <t xml:space="preserve">만 건을 넘는다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유료 전환이나 인프라를 더 구성해 연결해야 해 개발 범위가 과하게 넓어지므로 보류했다</t>
    </r>
    <r>
      <rPr>
        <sz val="10"/>
        <color rgb="FF14191C"/>
        <rFont val="맑은 고딕"/>
        <family val="0"/>
        <charset val="1"/>
      </rPr>
      <t xml:space="preserve">(D37 §5, log/057).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</si>
</sst>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2"/>
      <color rgb="FF1E3A5F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7ECF1"/>
        <bgColor rgb="FFE3F3EB"/>
      </patternFill>
    </fill>
    <fill>
      <patternFill patternType="solid">
        <fgColor rgb="FF1E3A5F"/>
        <bgColor rgb="FF333333"/>
      </patternFill>
    </fill>
    <fill>
      <patternFill patternType="solid">
        <fgColor rgb="FFF2F4F3"/>
        <bgColor rgb="FFE7ECF1"/>
      </patternFill>
    </fill>
    <fill>
      <patternFill patternType="solid">
        <fgColor rgb="FFE3F3EB"/>
        <bgColor rgb="FFE7ECF1"/>
      </patternFill>
    </fill>
    <fill>
      <patternFill patternType="solid">
        <fgColor rgb="FFF8E6E4"/>
        <bgColor rgb="FFFBEEDD"/>
      </patternFill>
    </fill>
    <fill>
      <patternFill patternType="solid">
        <fgColor rgb="FFFBEEDD"/>
        <bgColor rgb="FFF8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B"/>
          <bgColor rgb="FF000000"/>
        </patternFill>
      </fill>
    </dxf>
    <dxf>
      <fill>
        <patternFill patternType="solid">
          <fgColor rgb="FFF8E6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BEEDD"/>
      <rgbColor rgb="FFE3F3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1"/>
      <rgbColor rgb="FFF2F4F3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9.4" hidden="false" customHeight="false" outlineLevel="0" collapsed="false">
      <c r="A11" s="6" t="s">
        <v>14</v>
      </c>
    </row>
    <row r="12" customFormat="false" ht="15" hidden="false" customHeight="false" outlineLevel="0" collapsed="false">
      <c r="A12" s="7" t="s">
        <v>15</v>
      </c>
      <c r="B12" s="5" t="s">
        <v>16</v>
      </c>
    </row>
    <row r="13" customFormat="false" ht="15" hidden="false" customHeight="false" outlineLevel="0" collapsed="false">
      <c r="A13" s="7" t="s">
        <v>17</v>
      </c>
      <c r="B13" s="4" t="s">
        <v>18</v>
      </c>
    </row>
    <row r="14" customFormat="false" ht="15" hidden="false" customHeight="false" outlineLevel="0" collapsed="false">
      <c r="A14" s="7" t="s">
        <v>19</v>
      </c>
      <c r="B14" s="4" t="s">
        <v>20</v>
      </c>
    </row>
    <row r="15" customFormat="false" ht="15" hidden="false" customHeight="false" outlineLevel="0" collapsed="false">
      <c r="A15" s="7" t="s">
        <v>21</v>
      </c>
      <c r="B15" s="5" t="s">
        <v>22</v>
      </c>
    </row>
    <row r="16" customFormat="false" ht="29.85" hidden="false" customHeight="false" outlineLevel="0" collapsed="false">
      <c r="A16" s="3" t="s">
        <v>23</v>
      </c>
      <c r="B16" s="5" t="s">
        <v>24</v>
      </c>
    </row>
    <row r="18" customFormat="false" ht="15" hidden="false" customHeight="false" outlineLevel="0" collapsed="false">
      <c r="A18" s="6" t="s">
        <v>25</v>
      </c>
    </row>
    <row r="19" customFormat="false" ht="15" hidden="false" customHeight="false" outlineLevel="0" collapsed="false">
      <c r="A19" s="3" t="s">
        <v>26</v>
      </c>
      <c r="B19" s="5" t="s">
        <v>27</v>
      </c>
    </row>
    <row r="20" customFormat="false" ht="15" hidden="false" customHeight="false" outlineLevel="0" collapsed="false">
      <c r="A20" s="7" t="s">
        <v>28</v>
      </c>
      <c r="B20" s="5" t="s">
        <v>29</v>
      </c>
    </row>
    <row r="21" customFormat="false" ht="15" hidden="false" customHeight="false" outlineLevel="0" collapsed="false">
      <c r="A21" s="3" t="s">
        <v>30</v>
      </c>
      <c r="B21" s="5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8" t="s">
        <v>39</v>
      </c>
    </row>
    <row r="5" customFormat="false" ht="15" hidden="false" customHeight="false" outlineLevel="0" collapsed="false">
      <c r="A5" s="9" t="s">
        <v>40</v>
      </c>
      <c r="B5" s="10" t="n">
        <f aca="false">COUNTIF($C$12:$C$165,"기능")</f>
        <v>78</v>
      </c>
    </row>
    <row r="6" customFormat="false" ht="15" hidden="false" customHeight="false" outlineLevel="0" collapsed="false">
      <c r="A6" s="9" t="s">
        <v>41</v>
      </c>
      <c r="B6" s="10" t="n">
        <f aca="false">COUNTIFS($C$12:$C$165,"기능",$F$12:$F$165,"있음")</f>
        <v>66</v>
      </c>
    </row>
    <row r="7" customFormat="false" ht="15" hidden="false" customHeight="false" outlineLevel="0" collapsed="false">
      <c r="A7" s="9" t="s">
        <v>42</v>
      </c>
      <c r="B7" s="10" t="n">
        <f aca="false">COUNTIFS($C$12:$C$165,"기능",$F$12:$F$165,"없음")</f>
        <v>11</v>
      </c>
    </row>
    <row r="8" customFormat="false" ht="15" hidden="false" customHeight="false" outlineLevel="0" collapsed="false">
      <c r="A8" s="9" t="s">
        <v>43</v>
      </c>
      <c r="B8" s="10" t="n">
        <f aca="false">COUNTIF($C$12:$C$165,"불변규칙")</f>
        <v>26</v>
      </c>
    </row>
    <row r="9" customFormat="false" ht="15" hidden="false" customHeight="false" outlineLevel="0" collapsed="false">
      <c r="A9" s="11" t="s">
        <v>44</v>
      </c>
      <c r="B9" s="10" t="n">
        <f aca="false">COUNTIF($C$12:$C$165,"미구현")</f>
        <v>7</v>
      </c>
    </row>
    <row r="11" customFormat="false" ht="15" hidden="false" customHeight="false" outlineLevel="0" collapsed="false">
      <c r="A11" s="8" t="s">
        <v>45</v>
      </c>
      <c r="B11" s="8" t="s">
        <v>46</v>
      </c>
      <c r="C11" s="8" t="s">
        <v>47</v>
      </c>
      <c r="D11" s="8" t="s">
        <v>48</v>
      </c>
      <c r="E11" s="8" t="s">
        <v>49</v>
      </c>
      <c r="F11" s="8" t="s">
        <v>50</v>
      </c>
      <c r="G11" s="8" t="s">
        <v>51</v>
      </c>
    </row>
    <row r="12" customFormat="false" ht="15" hidden="false" customHeight="false" outlineLevel="0" collapsed="false">
      <c r="A12" s="12" t="s">
        <v>52</v>
      </c>
      <c r="B12" s="13" t="s">
        <v>53</v>
      </c>
      <c r="C12" s="13" t="s">
        <v>54</v>
      </c>
      <c r="D12" s="13" t="s">
        <v>55</v>
      </c>
      <c r="E12" s="12" t="s">
        <v>56</v>
      </c>
      <c r="F12" s="12" t="s">
        <v>56</v>
      </c>
      <c r="G12" s="13"/>
    </row>
    <row r="13" customFormat="false" ht="15" hidden="false" customHeight="false" outlineLevel="0" collapsed="false">
      <c r="A13" s="12" t="s">
        <v>57</v>
      </c>
      <c r="B13" s="13" t="s">
        <v>53</v>
      </c>
      <c r="C13" s="13" t="s">
        <v>54</v>
      </c>
      <c r="D13" s="13" t="s">
        <v>58</v>
      </c>
      <c r="E13" s="12" t="s">
        <v>56</v>
      </c>
      <c r="F13" s="12" t="s">
        <v>56</v>
      </c>
      <c r="G13" s="13"/>
    </row>
    <row r="14" customFormat="false" ht="15" hidden="false" customHeight="false" outlineLevel="0" collapsed="false">
      <c r="A14" s="12" t="s">
        <v>59</v>
      </c>
      <c r="B14" s="13" t="s">
        <v>53</v>
      </c>
      <c r="C14" s="13" t="s">
        <v>54</v>
      </c>
      <c r="D14" s="13" t="s">
        <v>60</v>
      </c>
      <c r="E14" s="12" t="s">
        <v>56</v>
      </c>
      <c r="F14" s="12" t="s">
        <v>56</v>
      </c>
      <c r="G14" s="13"/>
    </row>
    <row r="15" customFormat="false" ht="15" hidden="false" customHeight="false" outlineLevel="0" collapsed="false">
      <c r="A15" s="12" t="s">
        <v>61</v>
      </c>
      <c r="B15" s="13" t="s">
        <v>53</v>
      </c>
      <c r="C15" s="13" t="s">
        <v>54</v>
      </c>
      <c r="D15" s="13" t="s">
        <v>62</v>
      </c>
      <c r="E15" s="12" t="s">
        <v>56</v>
      </c>
      <c r="F15" s="12" t="s">
        <v>56</v>
      </c>
      <c r="G15" s="13"/>
    </row>
    <row r="16" customFormat="false" ht="15" hidden="false" customHeight="false" outlineLevel="0" collapsed="false">
      <c r="A16" s="12" t="s">
        <v>63</v>
      </c>
      <c r="B16" s="13" t="s">
        <v>53</v>
      </c>
      <c r="C16" s="13" t="s">
        <v>64</v>
      </c>
      <c r="D16" s="13" t="s">
        <v>65</v>
      </c>
      <c r="E16" s="12" t="s">
        <v>56</v>
      </c>
      <c r="F16" s="12" t="s">
        <v>56</v>
      </c>
      <c r="G16" s="13"/>
    </row>
    <row r="17" customFormat="false" ht="15" hidden="false" customHeight="false" outlineLevel="0" collapsed="false">
      <c r="A17" s="12" t="s">
        <v>66</v>
      </c>
      <c r="B17" s="13" t="s">
        <v>53</v>
      </c>
      <c r="C17" s="13" t="s">
        <v>64</v>
      </c>
      <c r="D17" s="13" t="s">
        <v>67</v>
      </c>
      <c r="E17" s="12" t="s">
        <v>56</v>
      </c>
      <c r="F17" s="12" t="s">
        <v>56</v>
      </c>
      <c r="G17" s="13"/>
    </row>
    <row r="18" customFormat="false" ht="15" hidden="false" customHeight="false" outlineLevel="0" collapsed="false">
      <c r="A18" s="12" t="s">
        <v>68</v>
      </c>
      <c r="B18" s="13" t="s">
        <v>53</v>
      </c>
      <c r="C18" s="13" t="s">
        <v>69</v>
      </c>
      <c r="D18" s="12" t="s">
        <v>70</v>
      </c>
      <c r="E18" s="12" t="s">
        <v>56</v>
      </c>
      <c r="F18" s="12" t="s">
        <v>56</v>
      </c>
      <c r="G18" s="13"/>
    </row>
    <row r="19" customFormat="false" ht="29.85" hidden="false" customHeight="false" outlineLevel="0" collapsed="false">
      <c r="A19" s="12" t="s">
        <v>71</v>
      </c>
      <c r="B19" s="13" t="s">
        <v>53</v>
      </c>
      <c r="C19" s="13" t="s">
        <v>72</v>
      </c>
      <c r="D19" s="13" t="s">
        <v>73</v>
      </c>
      <c r="E19" s="14" t="s">
        <v>74</v>
      </c>
      <c r="F19" s="12" t="s">
        <v>56</v>
      </c>
      <c r="G19" s="12" t="s">
        <v>75</v>
      </c>
    </row>
    <row r="20" customFormat="false" ht="23.85" hidden="false" customHeight="false" outlineLevel="0" collapsed="false">
      <c r="A20" s="12" t="s">
        <v>76</v>
      </c>
      <c r="B20" s="13" t="s">
        <v>53</v>
      </c>
      <c r="C20" s="13" t="s">
        <v>72</v>
      </c>
      <c r="D20" s="13" t="s">
        <v>77</v>
      </c>
      <c r="E20" s="14" t="s">
        <v>74</v>
      </c>
      <c r="F20" s="12" t="s">
        <v>56</v>
      </c>
      <c r="G20" s="12" t="s">
        <v>75</v>
      </c>
    </row>
    <row r="21" customFormat="false" ht="29.85" hidden="false" customHeight="false" outlineLevel="0" collapsed="false">
      <c r="A21" s="12" t="s">
        <v>78</v>
      </c>
      <c r="B21" s="13" t="s">
        <v>53</v>
      </c>
      <c r="C21" s="13" t="s">
        <v>72</v>
      </c>
      <c r="D21" s="12" t="s">
        <v>79</v>
      </c>
      <c r="E21" s="14" t="s">
        <v>74</v>
      </c>
      <c r="F21" s="12" t="s">
        <v>56</v>
      </c>
      <c r="G21" s="12" t="s">
        <v>75</v>
      </c>
    </row>
    <row r="22" customFormat="false" ht="15" hidden="false" customHeight="false" outlineLevel="0" collapsed="false">
      <c r="A22" s="12" t="s">
        <v>80</v>
      </c>
      <c r="B22" s="13" t="s">
        <v>53</v>
      </c>
      <c r="C22" s="13" t="s">
        <v>81</v>
      </c>
      <c r="D22" s="13" t="s">
        <v>82</v>
      </c>
      <c r="E22" s="14" t="s">
        <v>74</v>
      </c>
      <c r="F22" s="13" t="s">
        <v>83</v>
      </c>
      <c r="G22" s="12" t="s">
        <v>84</v>
      </c>
    </row>
    <row r="23" customFormat="false" ht="15" hidden="false" customHeight="false" outlineLevel="0" collapsed="false">
      <c r="A23" s="12" t="s">
        <v>85</v>
      </c>
      <c r="B23" s="13" t="s">
        <v>53</v>
      </c>
      <c r="C23" s="13" t="s">
        <v>81</v>
      </c>
      <c r="D23" s="13" t="s">
        <v>86</v>
      </c>
      <c r="E23" s="14" t="s">
        <v>74</v>
      </c>
      <c r="F23" s="13" t="s">
        <v>83</v>
      </c>
      <c r="G23" s="12" t="s">
        <v>87</v>
      </c>
    </row>
    <row r="24" customFormat="false" ht="15" hidden="false" customHeight="false" outlineLevel="0" collapsed="false">
      <c r="A24" s="12" t="s">
        <v>88</v>
      </c>
      <c r="B24" s="13" t="s">
        <v>53</v>
      </c>
      <c r="C24" s="13" t="s">
        <v>81</v>
      </c>
      <c r="D24" s="13" t="s">
        <v>89</v>
      </c>
      <c r="E24" s="14" t="s">
        <v>74</v>
      </c>
      <c r="F24" s="13" t="s">
        <v>83</v>
      </c>
      <c r="G24" s="12" t="s">
        <v>90</v>
      </c>
    </row>
    <row r="25" customFormat="false" ht="15" hidden="false" customHeight="false" outlineLevel="0" collapsed="false">
      <c r="A25" s="12" t="s">
        <v>91</v>
      </c>
      <c r="B25" s="13" t="s">
        <v>53</v>
      </c>
      <c r="C25" s="13" t="s">
        <v>81</v>
      </c>
      <c r="D25" s="13" t="s">
        <v>92</v>
      </c>
      <c r="E25" s="14" t="s">
        <v>74</v>
      </c>
      <c r="F25" s="13" t="s">
        <v>93</v>
      </c>
      <c r="G25" s="12" t="s">
        <v>94</v>
      </c>
    </row>
    <row r="26" customFormat="false" ht="15" hidden="false" customHeight="false" outlineLevel="0" collapsed="false">
      <c r="A26" s="12" t="s">
        <v>95</v>
      </c>
      <c r="B26" s="13" t="s">
        <v>53</v>
      </c>
      <c r="C26" s="13" t="s">
        <v>81</v>
      </c>
      <c r="D26" s="13" t="s">
        <v>96</v>
      </c>
      <c r="E26" s="14" t="s">
        <v>74</v>
      </c>
      <c r="F26" s="13" t="s">
        <v>83</v>
      </c>
      <c r="G26" s="12" t="s">
        <v>97</v>
      </c>
    </row>
    <row r="27" customFormat="false" ht="15" hidden="false" customHeight="false" outlineLevel="0" collapsed="false">
      <c r="A27" s="12" t="s">
        <v>98</v>
      </c>
      <c r="B27" s="13" t="s">
        <v>53</v>
      </c>
      <c r="C27" s="13" t="s">
        <v>81</v>
      </c>
      <c r="D27" s="13" t="s">
        <v>99</v>
      </c>
      <c r="E27" s="14" t="s">
        <v>74</v>
      </c>
      <c r="F27" s="13" t="s">
        <v>83</v>
      </c>
      <c r="G27" s="12" t="s">
        <v>100</v>
      </c>
    </row>
    <row r="28" customFormat="false" ht="15" hidden="false" customHeight="false" outlineLevel="0" collapsed="false">
      <c r="A28" s="12" t="s">
        <v>101</v>
      </c>
      <c r="B28" s="13" t="s">
        <v>53</v>
      </c>
      <c r="C28" s="13" t="s">
        <v>81</v>
      </c>
      <c r="D28" s="13" t="s">
        <v>102</v>
      </c>
      <c r="E28" s="14" t="s">
        <v>74</v>
      </c>
      <c r="F28" s="13" t="s">
        <v>83</v>
      </c>
      <c r="G28" s="12" t="s">
        <v>103</v>
      </c>
    </row>
    <row r="29" customFormat="false" ht="15" hidden="false" customHeight="false" outlineLevel="0" collapsed="false">
      <c r="A29" s="5" t="s">
        <v>104</v>
      </c>
      <c r="B29" s="4" t="s">
        <v>105</v>
      </c>
      <c r="C29" s="4" t="s">
        <v>54</v>
      </c>
      <c r="D29" s="4" t="s">
        <v>106</v>
      </c>
      <c r="E29" s="5" t="s">
        <v>56</v>
      </c>
      <c r="F29" s="5" t="s">
        <v>56</v>
      </c>
      <c r="G29" s="4"/>
    </row>
    <row r="30" customFormat="false" ht="15" hidden="false" customHeight="false" outlineLevel="0" collapsed="false">
      <c r="A30" s="5" t="s">
        <v>107</v>
      </c>
      <c r="B30" s="4" t="s">
        <v>105</v>
      </c>
      <c r="C30" s="4" t="s">
        <v>54</v>
      </c>
      <c r="D30" s="4" t="s">
        <v>108</v>
      </c>
      <c r="E30" s="5" t="s">
        <v>56</v>
      </c>
      <c r="F30" s="5" t="s">
        <v>56</v>
      </c>
      <c r="G30" s="4"/>
    </row>
    <row r="31" customFormat="false" ht="15" hidden="false" customHeight="false" outlineLevel="0" collapsed="false">
      <c r="A31" s="5" t="s">
        <v>109</v>
      </c>
      <c r="B31" s="4" t="s">
        <v>105</v>
      </c>
      <c r="C31" s="4" t="s">
        <v>54</v>
      </c>
      <c r="D31" s="4" t="s">
        <v>110</v>
      </c>
      <c r="E31" s="5" t="s">
        <v>56</v>
      </c>
      <c r="F31" s="5" t="s">
        <v>56</v>
      </c>
      <c r="G31" s="4"/>
    </row>
    <row r="32" customFormat="false" ht="29.85" hidden="false" customHeight="false" outlineLevel="0" collapsed="false">
      <c r="A32" s="5" t="s">
        <v>111</v>
      </c>
      <c r="B32" s="4" t="s">
        <v>105</v>
      </c>
      <c r="C32" s="4" t="s">
        <v>69</v>
      </c>
      <c r="D32" s="5" t="s">
        <v>112</v>
      </c>
      <c r="E32" s="5" t="s">
        <v>56</v>
      </c>
      <c r="F32" s="5" t="s">
        <v>56</v>
      </c>
      <c r="G32" s="4"/>
    </row>
    <row r="33" customFormat="false" ht="29.85" hidden="false" customHeight="false" outlineLevel="0" collapsed="false">
      <c r="A33" s="5" t="s">
        <v>113</v>
      </c>
      <c r="B33" s="4" t="s">
        <v>105</v>
      </c>
      <c r="C33" s="4" t="s">
        <v>72</v>
      </c>
      <c r="D33" s="4" t="s">
        <v>114</v>
      </c>
      <c r="E33" s="14" t="s">
        <v>74</v>
      </c>
      <c r="F33" s="5" t="s">
        <v>56</v>
      </c>
      <c r="G33" s="5" t="s">
        <v>115</v>
      </c>
    </row>
    <row r="34" customFormat="false" ht="29.85" hidden="false" customHeight="false" outlineLevel="0" collapsed="false">
      <c r="A34" s="5" t="s">
        <v>116</v>
      </c>
      <c r="B34" s="4" t="s">
        <v>105</v>
      </c>
      <c r="C34" s="4" t="s">
        <v>72</v>
      </c>
      <c r="D34" s="4" t="s">
        <v>117</v>
      </c>
      <c r="E34" s="14" t="s">
        <v>74</v>
      </c>
      <c r="F34" s="5" t="s">
        <v>56</v>
      </c>
      <c r="G34" s="5" t="s">
        <v>115</v>
      </c>
    </row>
    <row r="35" customFormat="false" ht="29.85" hidden="false" customHeight="false" outlineLevel="0" collapsed="false">
      <c r="A35" s="5" t="s">
        <v>118</v>
      </c>
      <c r="B35" s="4" t="s">
        <v>105</v>
      </c>
      <c r="C35" s="4" t="s">
        <v>72</v>
      </c>
      <c r="D35" s="4" t="s">
        <v>119</v>
      </c>
      <c r="E35" s="14" t="s">
        <v>74</v>
      </c>
      <c r="F35" s="5" t="s">
        <v>56</v>
      </c>
      <c r="G35" s="5" t="s">
        <v>115</v>
      </c>
    </row>
    <row r="36" customFormat="false" ht="15" hidden="false" customHeight="false" outlineLevel="0" collapsed="false">
      <c r="A36" s="5" t="s">
        <v>120</v>
      </c>
      <c r="B36" s="4" t="s">
        <v>105</v>
      </c>
      <c r="C36" s="4" t="s">
        <v>81</v>
      </c>
      <c r="D36" s="4" t="s">
        <v>121</v>
      </c>
      <c r="E36" s="14" t="s">
        <v>74</v>
      </c>
      <c r="F36" s="4" t="s">
        <v>83</v>
      </c>
      <c r="G36" s="5" t="s">
        <v>122</v>
      </c>
    </row>
    <row r="37" customFormat="false" ht="15" hidden="false" customHeight="false" outlineLevel="0" collapsed="false">
      <c r="A37" s="5" t="s">
        <v>123</v>
      </c>
      <c r="B37" s="4" t="s">
        <v>105</v>
      </c>
      <c r="C37" s="4" t="s">
        <v>81</v>
      </c>
      <c r="D37" s="4" t="s">
        <v>124</v>
      </c>
      <c r="E37" s="14" t="s">
        <v>74</v>
      </c>
      <c r="F37" s="4" t="s">
        <v>93</v>
      </c>
      <c r="G37" s="5" t="s">
        <v>125</v>
      </c>
    </row>
    <row r="38" customFormat="false" ht="15" hidden="false" customHeight="false" outlineLevel="0" collapsed="false">
      <c r="A38" s="5" t="s">
        <v>126</v>
      </c>
      <c r="B38" s="4" t="s">
        <v>105</v>
      </c>
      <c r="C38" s="4" t="s">
        <v>81</v>
      </c>
      <c r="D38" s="4" t="s">
        <v>127</v>
      </c>
      <c r="E38" s="14" t="s">
        <v>74</v>
      </c>
      <c r="F38" s="4" t="s">
        <v>83</v>
      </c>
      <c r="G38" s="5" t="s">
        <v>128</v>
      </c>
    </row>
    <row r="39" customFormat="false" ht="15" hidden="false" customHeight="false" outlineLevel="0" collapsed="false">
      <c r="A39" s="5" t="s">
        <v>129</v>
      </c>
      <c r="B39" s="4" t="s">
        <v>105</v>
      </c>
      <c r="C39" s="4" t="s">
        <v>81</v>
      </c>
      <c r="D39" s="4" t="s">
        <v>130</v>
      </c>
      <c r="E39" s="14" t="s">
        <v>74</v>
      </c>
      <c r="F39" s="4" t="s">
        <v>93</v>
      </c>
      <c r="G39" s="5" t="s">
        <v>131</v>
      </c>
    </row>
    <row r="40" customFormat="false" ht="15" hidden="false" customHeight="false" outlineLevel="0" collapsed="false">
      <c r="A40" s="5" t="s">
        <v>132</v>
      </c>
      <c r="B40" s="4" t="s">
        <v>105</v>
      </c>
      <c r="C40" s="4" t="s">
        <v>81</v>
      </c>
      <c r="D40" s="4" t="s">
        <v>133</v>
      </c>
      <c r="E40" s="14" t="s">
        <v>74</v>
      </c>
      <c r="F40" s="4" t="s">
        <v>93</v>
      </c>
      <c r="G40" s="5" t="s">
        <v>134</v>
      </c>
    </row>
    <row r="41" customFormat="false" ht="15" hidden="false" customHeight="false" outlineLevel="0" collapsed="false">
      <c r="A41" s="5" t="s">
        <v>135</v>
      </c>
      <c r="B41" s="4" t="s">
        <v>105</v>
      </c>
      <c r="C41" s="4" t="s">
        <v>81</v>
      </c>
      <c r="D41" s="4" t="s">
        <v>136</v>
      </c>
      <c r="E41" s="14" t="s">
        <v>74</v>
      </c>
      <c r="F41" s="4" t="s">
        <v>93</v>
      </c>
      <c r="G41" s="5" t="s">
        <v>137</v>
      </c>
    </row>
    <row r="42" customFormat="false" ht="15" hidden="false" customHeight="false" outlineLevel="0" collapsed="false">
      <c r="A42" s="5" t="s">
        <v>138</v>
      </c>
      <c r="B42" s="4" t="s">
        <v>105</v>
      </c>
      <c r="C42" s="4" t="s">
        <v>81</v>
      </c>
      <c r="D42" s="4" t="s">
        <v>139</v>
      </c>
      <c r="E42" s="14" t="s">
        <v>74</v>
      </c>
      <c r="F42" s="4" t="s">
        <v>93</v>
      </c>
      <c r="G42" s="5" t="s">
        <v>140</v>
      </c>
    </row>
    <row r="43" customFormat="false" ht="15" hidden="false" customHeight="false" outlineLevel="0" collapsed="false">
      <c r="A43" s="5" t="s">
        <v>141</v>
      </c>
      <c r="B43" s="4" t="s">
        <v>105</v>
      </c>
      <c r="C43" s="4" t="s">
        <v>81</v>
      </c>
      <c r="D43" s="4" t="s">
        <v>142</v>
      </c>
      <c r="E43" s="14" t="s">
        <v>74</v>
      </c>
      <c r="F43" s="4" t="s">
        <v>83</v>
      </c>
      <c r="G43" s="5" t="s">
        <v>143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3" t="s">
        <v>54</v>
      </c>
      <c r="D44" s="13" t="s">
        <v>146</v>
      </c>
      <c r="E44" s="12" t="s">
        <v>56</v>
      </c>
      <c r="F44" s="12" t="s">
        <v>56</v>
      </c>
      <c r="G44" s="13"/>
    </row>
    <row r="45" customFormat="false" ht="15" hidden="false" customHeight="false" outlineLevel="0" collapsed="false">
      <c r="A45" s="12" t="s">
        <v>147</v>
      </c>
      <c r="B45" s="13" t="s">
        <v>145</v>
      </c>
      <c r="C45" s="13" t="s">
        <v>54</v>
      </c>
      <c r="D45" s="13" t="s">
        <v>148</v>
      </c>
      <c r="E45" s="12" t="s">
        <v>56</v>
      </c>
      <c r="F45" s="12" t="s">
        <v>56</v>
      </c>
      <c r="G45" s="13"/>
    </row>
    <row r="46" customFormat="false" ht="15" hidden="false" customHeight="false" outlineLevel="0" collapsed="false">
      <c r="A46" s="12" t="s">
        <v>149</v>
      </c>
      <c r="B46" s="13" t="s">
        <v>145</v>
      </c>
      <c r="C46" s="13" t="s">
        <v>54</v>
      </c>
      <c r="D46" s="13" t="s">
        <v>150</v>
      </c>
      <c r="E46" s="12" t="s">
        <v>56</v>
      </c>
      <c r="F46" s="12" t="s">
        <v>56</v>
      </c>
      <c r="G46" s="13"/>
    </row>
    <row r="47" customFormat="false" ht="29.85" hidden="false" customHeight="false" outlineLevel="0" collapsed="false">
      <c r="A47" s="12" t="s">
        <v>151</v>
      </c>
      <c r="B47" s="13" t="s">
        <v>145</v>
      </c>
      <c r="C47" s="13" t="s">
        <v>69</v>
      </c>
      <c r="D47" s="12" t="s">
        <v>152</v>
      </c>
      <c r="E47" s="12" t="s">
        <v>56</v>
      </c>
      <c r="F47" s="12" t="s">
        <v>56</v>
      </c>
      <c r="G47" s="13"/>
    </row>
    <row r="48" customFormat="false" ht="41" hidden="false" customHeight="false" outlineLevel="0" collapsed="false">
      <c r="A48" s="12" t="s">
        <v>153</v>
      </c>
      <c r="B48" s="13" t="s">
        <v>145</v>
      </c>
      <c r="C48" s="13" t="s">
        <v>72</v>
      </c>
      <c r="D48" s="13" t="s">
        <v>154</v>
      </c>
      <c r="E48" s="14" t="s">
        <v>74</v>
      </c>
      <c r="F48" s="12" t="s">
        <v>56</v>
      </c>
      <c r="G48" s="12" t="s">
        <v>155</v>
      </c>
    </row>
    <row r="49" customFormat="false" ht="41" hidden="false" customHeight="false" outlineLevel="0" collapsed="false">
      <c r="A49" s="12" t="s">
        <v>156</v>
      </c>
      <c r="B49" s="13" t="s">
        <v>145</v>
      </c>
      <c r="C49" s="13" t="s">
        <v>72</v>
      </c>
      <c r="D49" s="13" t="s">
        <v>157</v>
      </c>
      <c r="E49" s="14" t="s">
        <v>74</v>
      </c>
      <c r="F49" s="12" t="s">
        <v>56</v>
      </c>
      <c r="G49" s="12" t="s">
        <v>155</v>
      </c>
    </row>
    <row r="50" customFormat="false" ht="41" hidden="false" customHeight="false" outlineLevel="0" collapsed="false">
      <c r="A50" s="12" t="s">
        <v>158</v>
      </c>
      <c r="B50" s="13" t="s">
        <v>145</v>
      </c>
      <c r="C50" s="13" t="s">
        <v>72</v>
      </c>
      <c r="D50" s="12" t="s">
        <v>159</v>
      </c>
      <c r="E50" s="14" t="s">
        <v>74</v>
      </c>
      <c r="F50" s="12" t="s">
        <v>56</v>
      </c>
      <c r="G50" s="12" t="s">
        <v>155</v>
      </c>
    </row>
    <row r="51" customFormat="false" ht="15" hidden="false" customHeight="false" outlineLevel="0" collapsed="false">
      <c r="A51" s="12" t="s">
        <v>160</v>
      </c>
      <c r="B51" s="13" t="s">
        <v>145</v>
      </c>
      <c r="C51" s="13" t="s">
        <v>81</v>
      </c>
      <c r="D51" s="13" t="s">
        <v>161</v>
      </c>
      <c r="E51" s="14" t="s">
        <v>74</v>
      </c>
      <c r="F51" s="13" t="s">
        <v>83</v>
      </c>
      <c r="G51" s="12" t="s">
        <v>162</v>
      </c>
    </row>
    <row r="52" customFormat="false" ht="15" hidden="false" customHeight="false" outlineLevel="0" collapsed="false">
      <c r="A52" s="12" t="s">
        <v>163</v>
      </c>
      <c r="B52" s="13" t="s">
        <v>145</v>
      </c>
      <c r="C52" s="13" t="s">
        <v>81</v>
      </c>
      <c r="D52" s="13" t="s">
        <v>164</v>
      </c>
      <c r="E52" s="14" t="s">
        <v>74</v>
      </c>
      <c r="F52" s="13" t="s">
        <v>93</v>
      </c>
      <c r="G52" s="12" t="s">
        <v>165</v>
      </c>
    </row>
    <row r="53" customFormat="false" ht="15" hidden="false" customHeight="false" outlineLevel="0" collapsed="false">
      <c r="A53" s="12" t="s">
        <v>166</v>
      </c>
      <c r="B53" s="13" t="s">
        <v>145</v>
      </c>
      <c r="C53" s="13" t="s">
        <v>81</v>
      </c>
      <c r="D53" s="13" t="s">
        <v>167</v>
      </c>
      <c r="E53" s="14" t="s">
        <v>74</v>
      </c>
      <c r="F53" s="13" t="s">
        <v>93</v>
      </c>
      <c r="G53" s="12" t="s">
        <v>168</v>
      </c>
    </row>
    <row r="54" customFormat="false" ht="15" hidden="false" customHeight="false" outlineLevel="0" collapsed="false">
      <c r="A54" s="12" t="s">
        <v>169</v>
      </c>
      <c r="B54" s="13" t="s">
        <v>145</v>
      </c>
      <c r="C54" s="13" t="s">
        <v>81</v>
      </c>
      <c r="D54" s="13" t="s">
        <v>170</v>
      </c>
      <c r="E54" s="14" t="s">
        <v>74</v>
      </c>
      <c r="F54" s="13" t="s">
        <v>83</v>
      </c>
      <c r="G54" s="12" t="s">
        <v>171</v>
      </c>
    </row>
    <row r="55" customFormat="false" ht="15" hidden="false" customHeight="false" outlineLevel="0" collapsed="false">
      <c r="A55" s="12" t="s">
        <v>172</v>
      </c>
      <c r="B55" s="13" t="s">
        <v>145</v>
      </c>
      <c r="C55" s="13" t="s">
        <v>81</v>
      </c>
      <c r="D55" s="13" t="s">
        <v>173</v>
      </c>
      <c r="E55" s="14" t="s">
        <v>74</v>
      </c>
      <c r="F55" s="13" t="s">
        <v>83</v>
      </c>
      <c r="G55" s="12" t="s">
        <v>174</v>
      </c>
    </row>
    <row r="56" customFormat="false" ht="15" hidden="false" customHeight="false" outlineLevel="0" collapsed="false">
      <c r="A56" s="12" t="s">
        <v>175</v>
      </c>
      <c r="B56" s="13" t="s">
        <v>145</v>
      </c>
      <c r="C56" s="13" t="s">
        <v>81</v>
      </c>
      <c r="D56" s="13" t="s">
        <v>176</v>
      </c>
      <c r="E56" s="14" t="s">
        <v>74</v>
      </c>
      <c r="F56" s="13" t="s">
        <v>83</v>
      </c>
      <c r="G56" s="12" t="s">
        <v>177</v>
      </c>
    </row>
    <row r="57" customFormat="false" ht="15" hidden="false" customHeight="false" outlineLevel="0" collapsed="false">
      <c r="A57" s="12" t="s">
        <v>178</v>
      </c>
      <c r="B57" s="13" t="s">
        <v>145</v>
      </c>
      <c r="C57" s="13" t="s">
        <v>81</v>
      </c>
      <c r="D57" s="13" t="s">
        <v>179</v>
      </c>
      <c r="E57" s="14" t="s">
        <v>74</v>
      </c>
      <c r="F57" s="13" t="s">
        <v>83</v>
      </c>
      <c r="G57" s="12" t="s">
        <v>180</v>
      </c>
    </row>
    <row r="58" customFormat="false" ht="15" hidden="false" customHeight="false" outlineLevel="0" collapsed="false">
      <c r="A58" s="12" t="s">
        <v>181</v>
      </c>
      <c r="B58" s="13" t="s">
        <v>145</v>
      </c>
      <c r="C58" s="13" t="s">
        <v>81</v>
      </c>
      <c r="D58" s="13" t="s">
        <v>182</v>
      </c>
      <c r="E58" s="14" t="s">
        <v>74</v>
      </c>
      <c r="F58" s="13" t="s">
        <v>83</v>
      </c>
      <c r="G58" s="12" t="s">
        <v>183</v>
      </c>
    </row>
    <row r="59" customFormat="false" ht="15" hidden="false" customHeight="false" outlineLevel="0" collapsed="false">
      <c r="A59" s="12" t="s">
        <v>184</v>
      </c>
      <c r="B59" s="13" t="s">
        <v>145</v>
      </c>
      <c r="C59" s="13" t="s">
        <v>81</v>
      </c>
      <c r="D59" s="13" t="s">
        <v>185</v>
      </c>
      <c r="E59" s="14" t="s">
        <v>74</v>
      </c>
      <c r="F59" s="13" t="s">
        <v>83</v>
      </c>
      <c r="G59" s="12" t="s">
        <v>186</v>
      </c>
    </row>
    <row r="60" customFormat="false" ht="15" hidden="false" customHeight="false" outlineLevel="0" collapsed="false">
      <c r="A60" s="12" t="s">
        <v>187</v>
      </c>
      <c r="B60" s="13" t="s">
        <v>145</v>
      </c>
      <c r="C60" s="13" t="s">
        <v>81</v>
      </c>
      <c r="D60" s="13" t="s">
        <v>188</v>
      </c>
      <c r="E60" s="14" t="s">
        <v>74</v>
      </c>
      <c r="F60" s="13" t="s">
        <v>83</v>
      </c>
      <c r="G60" s="12" t="s">
        <v>189</v>
      </c>
    </row>
    <row r="61" customFormat="false" ht="15" hidden="false" customHeight="false" outlineLevel="0" collapsed="false">
      <c r="A61" s="12" t="s">
        <v>190</v>
      </c>
      <c r="B61" s="13" t="s">
        <v>145</v>
      </c>
      <c r="C61" s="13" t="s">
        <v>81</v>
      </c>
      <c r="D61" s="13" t="s">
        <v>191</v>
      </c>
      <c r="E61" s="14" t="s">
        <v>74</v>
      </c>
      <c r="F61" s="13" t="s">
        <v>83</v>
      </c>
      <c r="G61" s="12" t="s">
        <v>192</v>
      </c>
    </row>
    <row r="62" customFormat="false" ht="15" hidden="false" customHeight="false" outlineLevel="0" collapsed="false">
      <c r="A62" s="12" t="s">
        <v>193</v>
      </c>
      <c r="B62" s="13" t="s">
        <v>145</v>
      </c>
      <c r="C62" s="13" t="s">
        <v>81</v>
      </c>
      <c r="D62" s="13" t="s">
        <v>194</v>
      </c>
      <c r="E62" s="14" t="s">
        <v>74</v>
      </c>
      <c r="F62" s="13" t="s">
        <v>83</v>
      </c>
      <c r="G62" s="12" t="s">
        <v>195</v>
      </c>
    </row>
    <row r="63" customFormat="false" ht="15" hidden="false" customHeight="false" outlineLevel="0" collapsed="false">
      <c r="A63" s="12" t="s">
        <v>196</v>
      </c>
      <c r="B63" s="13" t="s">
        <v>145</v>
      </c>
      <c r="C63" s="13" t="s">
        <v>81</v>
      </c>
      <c r="D63" s="13" t="s">
        <v>197</v>
      </c>
      <c r="E63" s="14" t="s">
        <v>74</v>
      </c>
      <c r="F63" s="13" t="s">
        <v>83</v>
      </c>
      <c r="G63" s="12" t="s">
        <v>198</v>
      </c>
    </row>
    <row r="64" customFormat="false" ht="15" hidden="false" customHeight="false" outlineLevel="0" collapsed="false">
      <c r="A64" s="5" t="s">
        <v>199</v>
      </c>
      <c r="B64" s="4" t="s">
        <v>200</v>
      </c>
      <c r="C64" s="4" t="s">
        <v>54</v>
      </c>
      <c r="D64" s="4" t="s">
        <v>201</v>
      </c>
      <c r="E64" s="5" t="s">
        <v>56</v>
      </c>
      <c r="F64" s="5" t="s">
        <v>56</v>
      </c>
      <c r="G64" s="4"/>
    </row>
    <row r="65" customFormat="false" ht="15" hidden="false" customHeight="false" outlineLevel="0" collapsed="false">
      <c r="A65" s="5" t="s">
        <v>202</v>
      </c>
      <c r="B65" s="4" t="s">
        <v>200</v>
      </c>
      <c r="C65" s="4" t="s">
        <v>54</v>
      </c>
      <c r="D65" s="4" t="s">
        <v>203</v>
      </c>
      <c r="E65" s="5" t="s">
        <v>56</v>
      </c>
      <c r="F65" s="5" t="s">
        <v>56</v>
      </c>
      <c r="G65" s="4"/>
    </row>
    <row r="66" customFormat="false" ht="15" hidden="false" customHeight="false" outlineLevel="0" collapsed="false">
      <c r="A66" s="5" t="s">
        <v>204</v>
      </c>
      <c r="B66" s="4" t="s">
        <v>200</v>
      </c>
      <c r="C66" s="4" t="s">
        <v>54</v>
      </c>
      <c r="D66" s="4" t="s">
        <v>205</v>
      </c>
      <c r="E66" s="5" t="s">
        <v>56</v>
      </c>
      <c r="F66" s="5" t="s">
        <v>56</v>
      </c>
      <c r="G66" s="4"/>
    </row>
    <row r="67" customFormat="false" ht="29.85" hidden="false" customHeight="false" outlineLevel="0" collapsed="false">
      <c r="A67" s="5" t="s">
        <v>206</v>
      </c>
      <c r="B67" s="4" t="s">
        <v>200</v>
      </c>
      <c r="C67" s="4" t="s">
        <v>69</v>
      </c>
      <c r="D67" s="4" t="s">
        <v>207</v>
      </c>
      <c r="E67" s="5" t="s">
        <v>56</v>
      </c>
      <c r="F67" s="5" t="s">
        <v>56</v>
      </c>
      <c r="G67" s="4"/>
    </row>
    <row r="68" customFormat="false" ht="29.85" hidden="false" customHeight="false" outlineLevel="0" collapsed="false">
      <c r="A68" s="5" t="s">
        <v>208</v>
      </c>
      <c r="B68" s="4" t="s">
        <v>200</v>
      </c>
      <c r="C68" s="4" t="s">
        <v>72</v>
      </c>
      <c r="D68" s="5" t="s">
        <v>209</v>
      </c>
      <c r="E68" s="14" t="s">
        <v>74</v>
      </c>
      <c r="F68" s="5" t="s">
        <v>56</v>
      </c>
      <c r="G68" s="5" t="s">
        <v>210</v>
      </c>
    </row>
    <row r="69" customFormat="false" ht="29.85" hidden="false" customHeight="false" outlineLevel="0" collapsed="false">
      <c r="A69" s="5" t="s">
        <v>211</v>
      </c>
      <c r="B69" s="4" t="s">
        <v>200</v>
      </c>
      <c r="C69" s="4" t="s">
        <v>72</v>
      </c>
      <c r="D69" s="4" t="s">
        <v>212</v>
      </c>
      <c r="E69" s="14" t="s">
        <v>74</v>
      </c>
      <c r="F69" s="5" t="s">
        <v>56</v>
      </c>
      <c r="G69" s="5" t="s">
        <v>210</v>
      </c>
    </row>
    <row r="70" customFormat="false" ht="15" hidden="false" customHeight="false" outlineLevel="0" collapsed="false">
      <c r="A70" s="5" t="s">
        <v>213</v>
      </c>
      <c r="B70" s="4" t="s">
        <v>200</v>
      </c>
      <c r="C70" s="4" t="s">
        <v>81</v>
      </c>
      <c r="D70" s="4" t="s">
        <v>214</v>
      </c>
      <c r="E70" s="14" t="s">
        <v>74</v>
      </c>
      <c r="F70" s="4" t="s">
        <v>83</v>
      </c>
      <c r="G70" s="5" t="s">
        <v>215</v>
      </c>
    </row>
    <row r="71" customFormat="false" ht="15" hidden="false" customHeight="false" outlineLevel="0" collapsed="false">
      <c r="A71" s="5" t="s">
        <v>216</v>
      </c>
      <c r="B71" s="4" t="s">
        <v>200</v>
      </c>
      <c r="C71" s="4" t="s">
        <v>81</v>
      </c>
      <c r="D71" s="4" t="s">
        <v>217</v>
      </c>
      <c r="E71" s="14" t="s">
        <v>74</v>
      </c>
      <c r="F71" s="4" t="s">
        <v>83</v>
      </c>
      <c r="G71" s="5" t="s">
        <v>218</v>
      </c>
    </row>
    <row r="72" customFormat="false" ht="15" hidden="false" customHeight="false" outlineLevel="0" collapsed="false">
      <c r="A72" s="5" t="s">
        <v>219</v>
      </c>
      <c r="B72" s="4" t="s">
        <v>200</v>
      </c>
      <c r="C72" s="4" t="s">
        <v>81</v>
      </c>
      <c r="D72" s="4" t="s">
        <v>220</v>
      </c>
      <c r="E72" s="14" t="s">
        <v>74</v>
      </c>
      <c r="F72" s="4" t="s">
        <v>83</v>
      </c>
      <c r="G72" s="5" t="s">
        <v>221</v>
      </c>
    </row>
    <row r="73" customFormat="false" ht="15" hidden="false" customHeight="false" outlineLevel="0" collapsed="false">
      <c r="A73" s="5" t="s">
        <v>222</v>
      </c>
      <c r="B73" s="4" t="s">
        <v>200</v>
      </c>
      <c r="C73" s="4" t="s">
        <v>81</v>
      </c>
      <c r="D73" s="4" t="s">
        <v>223</v>
      </c>
      <c r="E73" s="14" t="s">
        <v>74</v>
      </c>
      <c r="F73" s="4" t="s">
        <v>83</v>
      </c>
      <c r="G73" s="5" t="s">
        <v>224</v>
      </c>
    </row>
    <row r="74" customFormat="false" ht="15" hidden="false" customHeight="false" outlineLevel="0" collapsed="false">
      <c r="A74" s="5" t="s">
        <v>225</v>
      </c>
      <c r="B74" s="4" t="s">
        <v>200</v>
      </c>
      <c r="C74" s="4" t="s">
        <v>81</v>
      </c>
      <c r="D74" s="4" t="s">
        <v>226</v>
      </c>
      <c r="E74" s="14" t="s">
        <v>74</v>
      </c>
      <c r="F74" s="4" t="s">
        <v>83</v>
      </c>
      <c r="G74" s="5" t="s">
        <v>227</v>
      </c>
    </row>
    <row r="75" customFormat="false" ht="15" hidden="false" customHeight="false" outlineLevel="0" collapsed="false">
      <c r="A75" s="12" t="s">
        <v>228</v>
      </c>
      <c r="B75" s="13" t="s">
        <v>229</v>
      </c>
      <c r="C75" s="13" t="s">
        <v>54</v>
      </c>
      <c r="D75" s="13" t="s">
        <v>230</v>
      </c>
      <c r="E75" s="12" t="s">
        <v>56</v>
      </c>
      <c r="F75" s="12" t="s">
        <v>56</v>
      </c>
      <c r="G75" s="13"/>
    </row>
    <row r="76" customFormat="false" ht="15" hidden="false" customHeight="false" outlineLevel="0" collapsed="false">
      <c r="A76" s="12" t="s">
        <v>231</v>
      </c>
      <c r="B76" s="13" t="s">
        <v>229</v>
      </c>
      <c r="C76" s="13" t="s">
        <v>54</v>
      </c>
      <c r="D76" s="13" t="s">
        <v>232</v>
      </c>
      <c r="E76" s="12" t="s">
        <v>56</v>
      </c>
      <c r="F76" s="12" t="s">
        <v>56</v>
      </c>
      <c r="G76" s="13"/>
    </row>
    <row r="77" customFormat="false" ht="15" hidden="false" customHeight="false" outlineLevel="0" collapsed="false">
      <c r="A77" s="12" t="s">
        <v>233</v>
      </c>
      <c r="B77" s="13" t="s">
        <v>229</v>
      </c>
      <c r="C77" s="13" t="s">
        <v>64</v>
      </c>
      <c r="D77" s="13" t="s">
        <v>234</v>
      </c>
      <c r="E77" s="12" t="s">
        <v>56</v>
      </c>
      <c r="F77" s="12" t="s">
        <v>56</v>
      </c>
      <c r="G77" s="13"/>
    </row>
    <row r="78" customFormat="false" ht="15" hidden="false" customHeight="false" outlineLevel="0" collapsed="false">
      <c r="A78" s="12" t="s">
        <v>63</v>
      </c>
      <c r="B78" s="13" t="s">
        <v>229</v>
      </c>
      <c r="C78" s="13" t="s">
        <v>64</v>
      </c>
      <c r="D78" s="13" t="s">
        <v>65</v>
      </c>
      <c r="E78" s="12" t="s">
        <v>56</v>
      </c>
      <c r="F78" s="12" t="s">
        <v>56</v>
      </c>
      <c r="G78" s="13"/>
    </row>
    <row r="79" customFormat="false" ht="29.85" hidden="false" customHeight="false" outlineLevel="0" collapsed="false">
      <c r="A79" s="12" t="s">
        <v>235</v>
      </c>
      <c r="B79" s="13" t="s">
        <v>229</v>
      </c>
      <c r="C79" s="13" t="s">
        <v>69</v>
      </c>
      <c r="D79" s="12" t="s">
        <v>236</v>
      </c>
      <c r="E79" s="12" t="s">
        <v>56</v>
      </c>
      <c r="F79" s="12" t="s">
        <v>56</v>
      </c>
      <c r="G79" s="13"/>
    </row>
    <row r="80" customFormat="false" ht="29.85" hidden="false" customHeight="false" outlineLevel="0" collapsed="false">
      <c r="A80" s="12" t="s">
        <v>237</v>
      </c>
      <c r="B80" s="13" t="s">
        <v>229</v>
      </c>
      <c r="C80" s="13" t="s">
        <v>72</v>
      </c>
      <c r="D80" s="12" t="s">
        <v>238</v>
      </c>
      <c r="E80" s="14" t="s">
        <v>74</v>
      </c>
      <c r="F80" s="12" t="s">
        <v>56</v>
      </c>
      <c r="G80" s="12" t="s">
        <v>239</v>
      </c>
    </row>
    <row r="81" customFormat="false" ht="26.85" hidden="false" customHeight="false" outlineLevel="0" collapsed="false">
      <c r="A81" s="12" t="s">
        <v>240</v>
      </c>
      <c r="B81" s="13" t="s">
        <v>229</v>
      </c>
      <c r="C81" s="13" t="s">
        <v>72</v>
      </c>
      <c r="D81" s="13" t="s">
        <v>241</v>
      </c>
      <c r="E81" s="14" t="s">
        <v>74</v>
      </c>
      <c r="F81" s="12" t="s">
        <v>56</v>
      </c>
      <c r="G81" s="12" t="s">
        <v>239</v>
      </c>
    </row>
    <row r="82" customFormat="false" ht="29.85" hidden="false" customHeight="false" outlineLevel="0" collapsed="false">
      <c r="A82" s="12" t="s">
        <v>242</v>
      </c>
      <c r="B82" s="13" t="s">
        <v>229</v>
      </c>
      <c r="C82" s="13" t="s">
        <v>72</v>
      </c>
      <c r="D82" s="13" t="s">
        <v>243</v>
      </c>
      <c r="E82" s="14" t="s">
        <v>74</v>
      </c>
      <c r="F82" s="12" t="s">
        <v>56</v>
      </c>
      <c r="G82" s="12" t="s">
        <v>239</v>
      </c>
    </row>
    <row r="83" customFormat="false" ht="15" hidden="false" customHeight="false" outlineLevel="0" collapsed="false">
      <c r="A83" s="12" t="s">
        <v>244</v>
      </c>
      <c r="B83" s="13" t="s">
        <v>229</v>
      </c>
      <c r="C83" s="13" t="s">
        <v>81</v>
      </c>
      <c r="D83" s="13" t="s">
        <v>245</v>
      </c>
      <c r="E83" s="14" t="s">
        <v>74</v>
      </c>
      <c r="F83" s="13" t="s">
        <v>83</v>
      </c>
      <c r="G83" s="12" t="s">
        <v>246</v>
      </c>
    </row>
    <row r="84" customFormat="false" ht="15" hidden="false" customHeight="false" outlineLevel="0" collapsed="false">
      <c r="A84" s="12" t="s">
        <v>247</v>
      </c>
      <c r="B84" s="13" t="s">
        <v>229</v>
      </c>
      <c r="C84" s="13" t="s">
        <v>81</v>
      </c>
      <c r="D84" s="13" t="s">
        <v>248</v>
      </c>
      <c r="E84" s="14" t="s">
        <v>74</v>
      </c>
      <c r="F84" s="13" t="s">
        <v>83</v>
      </c>
      <c r="G84" s="12" t="s">
        <v>249</v>
      </c>
    </row>
    <row r="85" customFormat="false" ht="15" hidden="false" customHeight="false" outlineLevel="0" collapsed="false">
      <c r="A85" s="12" t="s">
        <v>250</v>
      </c>
      <c r="B85" s="13" t="s">
        <v>229</v>
      </c>
      <c r="C85" s="13" t="s">
        <v>81</v>
      </c>
      <c r="D85" s="13" t="s">
        <v>251</v>
      </c>
      <c r="E85" s="14" t="s">
        <v>74</v>
      </c>
      <c r="F85" s="13" t="s">
        <v>83</v>
      </c>
      <c r="G85" s="12" t="s">
        <v>252</v>
      </c>
    </row>
    <row r="86" customFormat="false" ht="15" hidden="false" customHeight="false" outlineLevel="0" collapsed="false">
      <c r="A86" s="12" t="s">
        <v>253</v>
      </c>
      <c r="B86" s="13" t="s">
        <v>229</v>
      </c>
      <c r="C86" s="13" t="s">
        <v>81</v>
      </c>
      <c r="D86" s="13" t="s">
        <v>254</v>
      </c>
      <c r="E86" s="14" t="s">
        <v>74</v>
      </c>
      <c r="F86" s="13" t="s">
        <v>83</v>
      </c>
      <c r="G86" s="12" t="s">
        <v>255</v>
      </c>
    </row>
    <row r="87" customFormat="false" ht="15" hidden="false" customHeight="false" outlineLevel="0" collapsed="false">
      <c r="A87" s="12" t="s">
        <v>256</v>
      </c>
      <c r="B87" s="13" t="s">
        <v>229</v>
      </c>
      <c r="C87" s="13" t="s">
        <v>81</v>
      </c>
      <c r="D87" s="13" t="s">
        <v>257</v>
      </c>
      <c r="E87" s="14" t="s">
        <v>74</v>
      </c>
      <c r="F87" s="13" t="s">
        <v>83</v>
      </c>
      <c r="G87" s="12" t="s">
        <v>258</v>
      </c>
    </row>
    <row r="88" customFormat="false" ht="15" hidden="false" customHeight="false" outlineLevel="0" collapsed="false">
      <c r="A88" s="12" t="s">
        <v>259</v>
      </c>
      <c r="B88" s="13" t="s">
        <v>229</v>
      </c>
      <c r="C88" s="13" t="s">
        <v>81</v>
      </c>
      <c r="D88" s="13" t="s">
        <v>260</v>
      </c>
      <c r="E88" s="14" t="s">
        <v>74</v>
      </c>
      <c r="F88" s="13" t="s">
        <v>83</v>
      </c>
      <c r="G88" s="12" t="s">
        <v>261</v>
      </c>
    </row>
    <row r="89" customFormat="false" ht="15" hidden="false" customHeight="false" outlineLevel="0" collapsed="false">
      <c r="A89" s="12" t="s">
        <v>262</v>
      </c>
      <c r="B89" s="13" t="s">
        <v>229</v>
      </c>
      <c r="C89" s="13" t="s">
        <v>81</v>
      </c>
      <c r="D89" s="12" t="s">
        <v>263</v>
      </c>
      <c r="E89" s="14" t="s">
        <v>74</v>
      </c>
      <c r="F89" s="13" t="s">
        <v>83</v>
      </c>
      <c r="G89" s="12" t="s">
        <v>264</v>
      </c>
    </row>
    <row r="90" customFormat="false" ht="15" hidden="false" customHeight="false" outlineLevel="0" collapsed="false">
      <c r="A90" s="12" t="s">
        <v>265</v>
      </c>
      <c r="B90" s="13" t="s">
        <v>229</v>
      </c>
      <c r="C90" s="13" t="s">
        <v>81</v>
      </c>
      <c r="D90" s="12" t="s">
        <v>266</v>
      </c>
      <c r="E90" s="14" t="s">
        <v>74</v>
      </c>
      <c r="F90" s="13" t="s">
        <v>83</v>
      </c>
      <c r="G90" s="12" t="s">
        <v>267</v>
      </c>
    </row>
    <row r="91" customFormat="false" ht="15" hidden="false" customHeight="false" outlineLevel="0" collapsed="false">
      <c r="A91" s="12" t="s">
        <v>268</v>
      </c>
      <c r="B91" s="13" t="s">
        <v>229</v>
      </c>
      <c r="C91" s="13" t="s">
        <v>81</v>
      </c>
      <c r="D91" s="12" t="s">
        <v>269</v>
      </c>
      <c r="E91" s="14" t="s">
        <v>74</v>
      </c>
      <c r="F91" s="13" t="s">
        <v>83</v>
      </c>
      <c r="G91" s="12" t="s">
        <v>270</v>
      </c>
    </row>
    <row r="92" customFormat="false" ht="15" hidden="false" customHeight="false" outlineLevel="0" collapsed="false">
      <c r="A92" s="12" t="s">
        <v>271</v>
      </c>
      <c r="B92" s="13" t="s">
        <v>229</v>
      </c>
      <c r="C92" s="13" t="s">
        <v>81</v>
      </c>
      <c r="D92" s="13" t="s">
        <v>272</v>
      </c>
      <c r="E92" s="14" t="s">
        <v>74</v>
      </c>
      <c r="F92" s="13" t="s">
        <v>83</v>
      </c>
      <c r="G92" s="12" t="s">
        <v>273</v>
      </c>
    </row>
    <row r="93" customFormat="false" ht="15" hidden="false" customHeight="false" outlineLevel="0" collapsed="false">
      <c r="A93" s="12" t="s">
        <v>274</v>
      </c>
      <c r="B93" s="13" t="s">
        <v>229</v>
      </c>
      <c r="C93" s="13" t="s">
        <v>81</v>
      </c>
      <c r="D93" s="13" t="s">
        <v>275</v>
      </c>
      <c r="E93" s="14" t="s">
        <v>74</v>
      </c>
      <c r="F93" s="13" t="s">
        <v>93</v>
      </c>
      <c r="G93" s="12" t="s">
        <v>276</v>
      </c>
    </row>
    <row r="94" customFormat="false" ht="15" hidden="false" customHeight="false" outlineLevel="0" collapsed="false">
      <c r="A94" s="12" t="s">
        <v>277</v>
      </c>
      <c r="B94" s="13" t="s">
        <v>229</v>
      </c>
      <c r="C94" s="13" t="s">
        <v>81</v>
      </c>
      <c r="D94" s="13" t="s">
        <v>278</v>
      </c>
      <c r="E94" s="14" t="s">
        <v>74</v>
      </c>
      <c r="F94" s="13" t="s">
        <v>93</v>
      </c>
      <c r="G94" s="12" t="s">
        <v>279</v>
      </c>
    </row>
    <row r="95" customFormat="false" ht="15" hidden="false" customHeight="false" outlineLevel="0" collapsed="false">
      <c r="A95" s="5" t="s">
        <v>280</v>
      </c>
      <c r="B95" s="4" t="s">
        <v>281</v>
      </c>
      <c r="C95" s="4" t="s">
        <v>54</v>
      </c>
      <c r="D95" s="4" t="s">
        <v>282</v>
      </c>
      <c r="E95" s="5" t="s">
        <v>56</v>
      </c>
      <c r="F95" s="5" t="s">
        <v>56</v>
      </c>
      <c r="G95" s="4"/>
    </row>
    <row r="96" customFormat="false" ht="15" hidden="false" customHeight="false" outlineLevel="0" collapsed="false">
      <c r="A96" s="5" t="s">
        <v>283</v>
      </c>
      <c r="B96" s="4" t="s">
        <v>281</v>
      </c>
      <c r="C96" s="4" t="s">
        <v>54</v>
      </c>
      <c r="D96" s="4" t="s">
        <v>284</v>
      </c>
      <c r="E96" s="5" t="s">
        <v>56</v>
      </c>
      <c r="F96" s="5" t="s">
        <v>56</v>
      </c>
      <c r="G96" s="4"/>
    </row>
    <row r="97" customFormat="false" ht="15" hidden="false" customHeight="false" outlineLevel="0" collapsed="false">
      <c r="A97" s="5" t="s">
        <v>285</v>
      </c>
      <c r="B97" s="4" t="s">
        <v>281</v>
      </c>
      <c r="C97" s="4" t="s">
        <v>54</v>
      </c>
      <c r="D97" s="4" t="s">
        <v>286</v>
      </c>
      <c r="E97" s="5" t="s">
        <v>56</v>
      </c>
      <c r="F97" s="5" t="s">
        <v>56</v>
      </c>
      <c r="G97" s="4"/>
    </row>
    <row r="98" customFormat="false" ht="15" hidden="false" customHeight="false" outlineLevel="0" collapsed="false">
      <c r="A98" s="5" t="s">
        <v>287</v>
      </c>
      <c r="B98" s="4" t="s">
        <v>281</v>
      </c>
      <c r="C98" s="4" t="s">
        <v>64</v>
      </c>
      <c r="D98" s="4" t="s">
        <v>288</v>
      </c>
      <c r="E98" s="5" t="s">
        <v>56</v>
      </c>
      <c r="F98" s="5" t="s">
        <v>56</v>
      </c>
      <c r="G98" s="4"/>
    </row>
    <row r="99" customFormat="false" ht="15" hidden="false" customHeight="false" outlineLevel="0" collapsed="false">
      <c r="A99" s="5" t="s">
        <v>289</v>
      </c>
      <c r="B99" s="4" t="s">
        <v>281</v>
      </c>
      <c r="C99" s="4" t="s">
        <v>69</v>
      </c>
      <c r="D99" s="5" t="s">
        <v>290</v>
      </c>
      <c r="E99" s="5" t="s">
        <v>56</v>
      </c>
      <c r="F99" s="5" t="s">
        <v>56</v>
      </c>
      <c r="G99" s="4"/>
    </row>
    <row r="100" customFormat="false" ht="29.85" hidden="false" customHeight="false" outlineLevel="0" collapsed="false">
      <c r="A100" s="5" t="s">
        <v>291</v>
      </c>
      <c r="B100" s="4" t="s">
        <v>281</v>
      </c>
      <c r="C100" s="4" t="s">
        <v>72</v>
      </c>
      <c r="D100" s="4" t="s">
        <v>292</v>
      </c>
      <c r="E100" s="14" t="s">
        <v>74</v>
      </c>
      <c r="F100" s="5" t="s">
        <v>56</v>
      </c>
      <c r="G100" s="5" t="s">
        <v>293</v>
      </c>
    </row>
    <row r="101" customFormat="false" ht="26.85" hidden="false" customHeight="false" outlineLevel="0" collapsed="false">
      <c r="A101" s="5" t="s">
        <v>294</v>
      </c>
      <c r="B101" s="4" t="s">
        <v>281</v>
      </c>
      <c r="C101" s="4" t="s">
        <v>72</v>
      </c>
      <c r="D101" s="4" t="s">
        <v>295</v>
      </c>
      <c r="E101" s="14" t="s">
        <v>74</v>
      </c>
      <c r="F101" s="5" t="s">
        <v>56</v>
      </c>
      <c r="G101" s="5" t="s">
        <v>293</v>
      </c>
    </row>
    <row r="102" customFormat="false" ht="26.85" hidden="false" customHeight="false" outlineLevel="0" collapsed="false">
      <c r="A102" s="5" t="s">
        <v>296</v>
      </c>
      <c r="B102" s="4" t="s">
        <v>281</v>
      </c>
      <c r="C102" s="4" t="s">
        <v>72</v>
      </c>
      <c r="D102" s="4" t="s">
        <v>297</v>
      </c>
      <c r="E102" s="14" t="s">
        <v>74</v>
      </c>
      <c r="F102" s="5" t="s">
        <v>56</v>
      </c>
      <c r="G102" s="5" t="s">
        <v>293</v>
      </c>
    </row>
    <row r="103" customFormat="false" ht="29.85" hidden="false" customHeight="false" outlineLevel="0" collapsed="false">
      <c r="A103" s="5" t="s">
        <v>298</v>
      </c>
      <c r="B103" s="4" t="s">
        <v>281</v>
      </c>
      <c r="C103" s="4" t="s">
        <v>72</v>
      </c>
      <c r="D103" s="4" t="s">
        <v>299</v>
      </c>
      <c r="E103" s="14" t="s">
        <v>74</v>
      </c>
      <c r="F103" s="5" t="s">
        <v>56</v>
      </c>
      <c r="G103" s="5" t="s">
        <v>293</v>
      </c>
    </row>
    <row r="104" customFormat="false" ht="15" hidden="false" customHeight="false" outlineLevel="0" collapsed="false">
      <c r="A104" s="5" t="s">
        <v>300</v>
      </c>
      <c r="B104" s="4" t="s">
        <v>281</v>
      </c>
      <c r="C104" s="4" t="s">
        <v>81</v>
      </c>
      <c r="D104" s="4" t="s">
        <v>301</v>
      </c>
      <c r="E104" s="14" t="s">
        <v>74</v>
      </c>
      <c r="F104" s="4" t="s">
        <v>83</v>
      </c>
      <c r="G104" s="5" t="s">
        <v>302</v>
      </c>
    </row>
    <row r="105" customFormat="false" ht="15" hidden="false" customHeight="false" outlineLevel="0" collapsed="false">
      <c r="A105" s="5" t="s">
        <v>303</v>
      </c>
      <c r="B105" s="4" t="s">
        <v>281</v>
      </c>
      <c r="C105" s="4" t="s">
        <v>81</v>
      </c>
      <c r="D105" s="4" t="s">
        <v>304</v>
      </c>
      <c r="E105" s="14" t="s">
        <v>74</v>
      </c>
      <c r="F105" s="4" t="s">
        <v>83</v>
      </c>
      <c r="G105" s="5" t="s">
        <v>305</v>
      </c>
    </row>
    <row r="106" customFormat="false" ht="15" hidden="false" customHeight="false" outlineLevel="0" collapsed="false">
      <c r="A106" s="5" t="s">
        <v>306</v>
      </c>
      <c r="B106" s="4" t="s">
        <v>281</v>
      </c>
      <c r="C106" s="4" t="s">
        <v>81</v>
      </c>
      <c r="D106" s="4" t="s">
        <v>307</v>
      </c>
      <c r="E106" s="14" t="s">
        <v>74</v>
      </c>
      <c r="F106" s="4" t="s">
        <v>83</v>
      </c>
      <c r="G106" s="5" t="s">
        <v>308</v>
      </c>
    </row>
    <row r="107" customFormat="false" ht="15" hidden="false" customHeight="false" outlineLevel="0" collapsed="false">
      <c r="A107" s="5" t="s">
        <v>309</v>
      </c>
      <c r="B107" s="4" t="s">
        <v>281</v>
      </c>
      <c r="C107" s="4" t="s">
        <v>81</v>
      </c>
      <c r="D107" s="4" t="s">
        <v>310</v>
      </c>
      <c r="E107" s="14" t="s">
        <v>74</v>
      </c>
      <c r="F107" s="4" t="s">
        <v>83</v>
      </c>
      <c r="G107" s="5" t="s">
        <v>311</v>
      </c>
    </row>
    <row r="108" customFormat="false" ht="15" hidden="false" customHeight="false" outlineLevel="0" collapsed="false">
      <c r="A108" s="5" t="s">
        <v>312</v>
      </c>
      <c r="B108" s="4" t="s">
        <v>281</v>
      </c>
      <c r="C108" s="4" t="s">
        <v>81</v>
      </c>
      <c r="D108" s="4" t="s">
        <v>313</v>
      </c>
      <c r="E108" s="14" t="s">
        <v>74</v>
      </c>
      <c r="F108" s="4" t="s">
        <v>83</v>
      </c>
      <c r="G108" s="5" t="s">
        <v>314</v>
      </c>
    </row>
    <row r="109" customFormat="false" ht="15" hidden="false" customHeight="false" outlineLevel="0" collapsed="false">
      <c r="A109" s="5" t="s">
        <v>315</v>
      </c>
      <c r="B109" s="4" t="s">
        <v>281</v>
      </c>
      <c r="C109" s="4" t="s">
        <v>81</v>
      </c>
      <c r="D109" s="4" t="s">
        <v>316</v>
      </c>
      <c r="E109" s="14" t="s">
        <v>74</v>
      </c>
      <c r="F109" s="4" t="s">
        <v>83</v>
      </c>
      <c r="G109" s="5" t="s">
        <v>317</v>
      </c>
    </row>
    <row r="110" customFormat="false" ht="15" hidden="false" customHeight="false" outlineLevel="0" collapsed="false">
      <c r="A110" s="12" t="s">
        <v>318</v>
      </c>
      <c r="B110" s="13" t="s">
        <v>319</v>
      </c>
      <c r="C110" s="13" t="s">
        <v>54</v>
      </c>
      <c r="D110" s="13" t="s">
        <v>320</v>
      </c>
      <c r="E110" s="12" t="s">
        <v>56</v>
      </c>
      <c r="F110" s="12" t="s">
        <v>56</v>
      </c>
      <c r="G110" s="13"/>
    </row>
    <row r="111" customFormat="false" ht="15" hidden="false" customHeight="false" outlineLevel="0" collapsed="false">
      <c r="A111" s="12" t="s">
        <v>321</v>
      </c>
      <c r="B111" s="13" t="s">
        <v>319</v>
      </c>
      <c r="C111" s="13" t="s">
        <v>54</v>
      </c>
      <c r="D111" s="13" t="s">
        <v>322</v>
      </c>
      <c r="E111" s="12" t="s">
        <v>56</v>
      </c>
      <c r="F111" s="12" t="s">
        <v>56</v>
      </c>
      <c r="G111" s="13"/>
    </row>
    <row r="112" customFormat="false" ht="15" hidden="false" customHeight="false" outlineLevel="0" collapsed="false">
      <c r="A112" s="12" t="s">
        <v>323</v>
      </c>
      <c r="B112" s="13" t="s">
        <v>319</v>
      </c>
      <c r="C112" s="13" t="s">
        <v>69</v>
      </c>
      <c r="D112" s="13" t="s">
        <v>324</v>
      </c>
      <c r="E112" s="12" t="s">
        <v>56</v>
      </c>
      <c r="F112" s="12" t="s">
        <v>56</v>
      </c>
      <c r="G112" s="13"/>
    </row>
    <row r="113" customFormat="false" ht="15" hidden="false" customHeight="false" outlineLevel="0" collapsed="false">
      <c r="A113" s="12" t="s">
        <v>325</v>
      </c>
      <c r="B113" s="13" t="s">
        <v>319</v>
      </c>
      <c r="C113" s="13" t="s">
        <v>72</v>
      </c>
      <c r="D113" s="12" t="s">
        <v>326</v>
      </c>
      <c r="E113" s="14" t="s">
        <v>74</v>
      </c>
      <c r="F113" s="12" t="s">
        <v>56</v>
      </c>
      <c r="G113" s="12" t="s">
        <v>327</v>
      </c>
    </row>
    <row r="114" customFormat="false" ht="29.85" hidden="false" customHeight="false" outlineLevel="0" collapsed="false">
      <c r="A114" s="12" t="s">
        <v>328</v>
      </c>
      <c r="B114" s="13" t="s">
        <v>319</v>
      </c>
      <c r="C114" s="13" t="s">
        <v>72</v>
      </c>
      <c r="D114" s="12" t="s">
        <v>329</v>
      </c>
      <c r="E114" s="14" t="s">
        <v>74</v>
      </c>
      <c r="F114" s="12" t="s">
        <v>56</v>
      </c>
      <c r="G114" s="12" t="s">
        <v>327</v>
      </c>
    </row>
    <row r="115" customFormat="false" ht="15" hidden="false" customHeight="false" outlineLevel="0" collapsed="false">
      <c r="A115" s="12" t="s">
        <v>330</v>
      </c>
      <c r="B115" s="13" t="s">
        <v>319</v>
      </c>
      <c r="C115" s="13" t="s">
        <v>81</v>
      </c>
      <c r="D115" s="13" t="s">
        <v>331</v>
      </c>
      <c r="E115" s="14" t="s">
        <v>74</v>
      </c>
      <c r="F115" s="13" t="s">
        <v>83</v>
      </c>
      <c r="G115" s="12" t="s">
        <v>332</v>
      </c>
    </row>
    <row r="116" customFormat="false" ht="15" hidden="false" customHeight="false" outlineLevel="0" collapsed="false">
      <c r="A116" s="12" t="s">
        <v>333</v>
      </c>
      <c r="B116" s="13" t="s">
        <v>319</v>
      </c>
      <c r="C116" s="13" t="s">
        <v>81</v>
      </c>
      <c r="D116" s="13" t="s">
        <v>334</v>
      </c>
      <c r="E116" s="14" t="s">
        <v>74</v>
      </c>
      <c r="F116" s="13" t="s">
        <v>83</v>
      </c>
      <c r="G116" s="12" t="s">
        <v>335</v>
      </c>
    </row>
    <row r="117" customFormat="false" ht="15" hidden="false" customHeight="false" outlineLevel="0" collapsed="false">
      <c r="A117" s="12" t="s">
        <v>336</v>
      </c>
      <c r="B117" s="13" t="s">
        <v>319</v>
      </c>
      <c r="C117" s="13" t="s">
        <v>81</v>
      </c>
      <c r="D117" s="13" t="s">
        <v>337</v>
      </c>
      <c r="E117" s="14" t="s">
        <v>74</v>
      </c>
      <c r="F117" s="13" t="s">
        <v>83</v>
      </c>
      <c r="G117" s="12" t="s">
        <v>338</v>
      </c>
    </row>
    <row r="118" customFormat="false" ht="15" hidden="false" customHeight="false" outlineLevel="0" collapsed="false">
      <c r="A118" s="12" t="s">
        <v>339</v>
      </c>
      <c r="B118" s="13" t="s">
        <v>319</v>
      </c>
      <c r="C118" s="13" t="s">
        <v>81</v>
      </c>
      <c r="D118" s="13" t="s">
        <v>340</v>
      </c>
      <c r="E118" s="14" t="s">
        <v>74</v>
      </c>
      <c r="F118" s="13" t="s">
        <v>83</v>
      </c>
      <c r="G118" s="12" t="s">
        <v>341</v>
      </c>
    </row>
    <row r="119" customFormat="false" ht="15" hidden="false" customHeight="false" outlineLevel="0" collapsed="false">
      <c r="A119" s="12" t="s">
        <v>342</v>
      </c>
      <c r="B119" s="13" t="s">
        <v>319</v>
      </c>
      <c r="C119" s="13" t="s">
        <v>81</v>
      </c>
      <c r="D119" s="13" t="s">
        <v>343</v>
      </c>
      <c r="E119" s="14" t="s">
        <v>74</v>
      </c>
      <c r="F119" s="13" t="s">
        <v>83</v>
      </c>
      <c r="G119" s="12" t="s">
        <v>344</v>
      </c>
    </row>
    <row r="120" customFormat="false" ht="15" hidden="false" customHeight="false" outlineLevel="0" collapsed="false">
      <c r="A120" s="12" t="s">
        <v>345</v>
      </c>
      <c r="B120" s="13" t="s">
        <v>319</v>
      </c>
      <c r="C120" s="13" t="s">
        <v>81</v>
      </c>
      <c r="D120" s="13" t="s">
        <v>346</v>
      </c>
      <c r="E120" s="14" t="s">
        <v>74</v>
      </c>
      <c r="F120" s="13" t="s">
        <v>83</v>
      </c>
      <c r="G120" s="12" t="s">
        <v>347</v>
      </c>
    </row>
    <row r="121" customFormat="false" ht="15" hidden="false" customHeight="false" outlineLevel="0" collapsed="false">
      <c r="A121" s="12" t="s">
        <v>348</v>
      </c>
      <c r="B121" s="13" t="s">
        <v>319</v>
      </c>
      <c r="C121" s="13" t="s">
        <v>81</v>
      </c>
      <c r="D121" s="13" t="s">
        <v>349</v>
      </c>
      <c r="E121" s="14" t="s">
        <v>74</v>
      </c>
      <c r="F121" s="13" t="s">
        <v>83</v>
      </c>
      <c r="G121" s="12" t="s">
        <v>350</v>
      </c>
    </row>
    <row r="122" customFormat="false" ht="15" hidden="false" customHeight="false" outlineLevel="0" collapsed="false">
      <c r="A122" s="12" t="s">
        <v>351</v>
      </c>
      <c r="B122" s="13" t="s">
        <v>319</v>
      </c>
      <c r="C122" s="13" t="s">
        <v>81</v>
      </c>
      <c r="D122" s="13" t="s">
        <v>352</v>
      </c>
      <c r="E122" s="14" t="s">
        <v>74</v>
      </c>
      <c r="F122" s="13" t="s">
        <v>83</v>
      </c>
      <c r="G122" s="12" t="s">
        <v>353</v>
      </c>
    </row>
    <row r="123" customFormat="false" ht="15" hidden="false" customHeight="false" outlineLevel="0" collapsed="false">
      <c r="A123" s="12" t="s">
        <v>354</v>
      </c>
      <c r="B123" s="13" t="s">
        <v>319</v>
      </c>
      <c r="C123" s="13" t="s">
        <v>81</v>
      </c>
      <c r="D123" s="13" t="s">
        <v>355</v>
      </c>
      <c r="E123" s="14" t="s">
        <v>74</v>
      </c>
      <c r="F123" s="13" t="s">
        <v>83</v>
      </c>
      <c r="G123" s="12" t="s">
        <v>356</v>
      </c>
    </row>
    <row r="124" customFormat="false" ht="15" hidden="false" customHeight="false" outlineLevel="0" collapsed="false">
      <c r="A124" s="12" t="s">
        <v>357</v>
      </c>
      <c r="B124" s="13" t="s">
        <v>319</v>
      </c>
      <c r="C124" s="13" t="s">
        <v>81</v>
      </c>
      <c r="D124" s="13" t="s">
        <v>358</v>
      </c>
      <c r="E124" s="14" t="s">
        <v>74</v>
      </c>
      <c r="F124" s="13" t="s">
        <v>83</v>
      </c>
      <c r="G124" s="12" t="s">
        <v>359</v>
      </c>
    </row>
    <row r="125" customFormat="false" ht="15" hidden="false" customHeight="false" outlineLevel="0" collapsed="false">
      <c r="A125" s="12" t="s">
        <v>360</v>
      </c>
      <c r="B125" s="13" t="s">
        <v>319</v>
      </c>
      <c r="C125" s="13" t="s">
        <v>81</v>
      </c>
      <c r="D125" s="13" t="s">
        <v>361</v>
      </c>
      <c r="E125" s="14" t="s">
        <v>74</v>
      </c>
      <c r="F125" s="13" t="s">
        <v>83</v>
      </c>
      <c r="G125" s="12" t="s">
        <v>362</v>
      </c>
    </row>
    <row r="126" customFormat="false" ht="15" hidden="false" customHeight="false" outlineLevel="0" collapsed="false">
      <c r="A126" s="12" t="s">
        <v>363</v>
      </c>
      <c r="B126" s="13" t="s">
        <v>319</v>
      </c>
      <c r="C126" s="13" t="s">
        <v>81</v>
      </c>
      <c r="D126" s="13" t="s">
        <v>364</v>
      </c>
      <c r="E126" s="14" t="s">
        <v>74</v>
      </c>
      <c r="F126" s="13" t="s">
        <v>83</v>
      </c>
      <c r="G126" s="12" t="s">
        <v>365</v>
      </c>
    </row>
    <row r="127" customFormat="false" ht="15" hidden="false" customHeight="false" outlineLevel="0" collapsed="false">
      <c r="A127" s="5" t="s">
        <v>366</v>
      </c>
      <c r="B127" s="4" t="s">
        <v>367</v>
      </c>
      <c r="C127" s="4" t="s">
        <v>54</v>
      </c>
      <c r="D127" s="4" t="s">
        <v>368</v>
      </c>
      <c r="E127" s="5" t="s">
        <v>56</v>
      </c>
      <c r="F127" s="5" t="s">
        <v>56</v>
      </c>
      <c r="G127" s="4"/>
    </row>
    <row r="128" customFormat="false" ht="15" hidden="false" customHeight="false" outlineLevel="0" collapsed="false">
      <c r="A128" s="5" t="s">
        <v>369</v>
      </c>
      <c r="B128" s="4" t="s">
        <v>367</v>
      </c>
      <c r="C128" s="4" t="s">
        <v>54</v>
      </c>
      <c r="D128" s="4" t="s">
        <v>370</v>
      </c>
      <c r="E128" s="5" t="s">
        <v>56</v>
      </c>
      <c r="F128" s="5" t="s">
        <v>56</v>
      </c>
      <c r="G128" s="4"/>
    </row>
    <row r="129" customFormat="false" ht="15" hidden="false" customHeight="false" outlineLevel="0" collapsed="false">
      <c r="A129" s="5" t="s">
        <v>371</v>
      </c>
      <c r="B129" s="4" t="s">
        <v>367</v>
      </c>
      <c r="C129" s="4" t="s">
        <v>69</v>
      </c>
      <c r="D129" s="4" t="s">
        <v>372</v>
      </c>
      <c r="E129" s="5" t="s">
        <v>56</v>
      </c>
      <c r="F129" s="5" t="s">
        <v>56</v>
      </c>
      <c r="G129" s="4"/>
    </row>
    <row r="130" customFormat="false" ht="15" hidden="false" customHeight="false" outlineLevel="0" collapsed="false">
      <c r="A130" s="5" t="s">
        <v>373</v>
      </c>
      <c r="B130" s="4" t="s">
        <v>367</v>
      </c>
      <c r="C130" s="4" t="s">
        <v>69</v>
      </c>
      <c r="D130" s="4" t="s">
        <v>374</v>
      </c>
      <c r="E130" s="5" t="s">
        <v>56</v>
      </c>
      <c r="F130" s="5" t="s">
        <v>56</v>
      </c>
      <c r="G130" s="4"/>
    </row>
    <row r="131" customFormat="false" ht="23.85" hidden="false" customHeight="false" outlineLevel="0" collapsed="false">
      <c r="A131" s="5" t="s">
        <v>375</v>
      </c>
      <c r="B131" s="4" t="s">
        <v>367</v>
      </c>
      <c r="C131" s="4" t="s">
        <v>72</v>
      </c>
      <c r="D131" s="5" t="s">
        <v>376</v>
      </c>
      <c r="E131" s="14" t="s">
        <v>74</v>
      </c>
      <c r="F131" s="5" t="s">
        <v>56</v>
      </c>
      <c r="G131" s="5" t="s">
        <v>377</v>
      </c>
    </row>
    <row r="132" customFormat="false" ht="23.85" hidden="false" customHeight="false" outlineLevel="0" collapsed="false">
      <c r="A132" s="5" t="s">
        <v>378</v>
      </c>
      <c r="B132" s="4" t="s">
        <v>367</v>
      </c>
      <c r="C132" s="4" t="s">
        <v>72</v>
      </c>
      <c r="D132" s="4" t="s">
        <v>379</v>
      </c>
      <c r="E132" s="14" t="s">
        <v>74</v>
      </c>
      <c r="F132" s="5" t="s">
        <v>56</v>
      </c>
      <c r="G132" s="5" t="s">
        <v>377</v>
      </c>
    </row>
    <row r="133" customFormat="false" ht="15" hidden="false" customHeight="false" outlineLevel="0" collapsed="false">
      <c r="A133" s="5" t="s">
        <v>380</v>
      </c>
      <c r="B133" s="4" t="s">
        <v>367</v>
      </c>
      <c r="C133" s="4" t="s">
        <v>81</v>
      </c>
      <c r="D133" s="4" t="s">
        <v>381</v>
      </c>
      <c r="E133" s="14" t="s">
        <v>74</v>
      </c>
      <c r="F133" s="4" t="s">
        <v>83</v>
      </c>
      <c r="G133" s="5" t="s">
        <v>382</v>
      </c>
    </row>
    <row r="134" customFormat="false" ht="15" hidden="false" customHeight="false" outlineLevel="0" collapsed="false">
      <c r="A134" s="5" t="s">
        <v>383</v>
      </c>
      <c r="B134" s="4" t="s">
        <v>367</v>
      </c>
      <c r="C134" s="4" t="s">
        <v>81</v>
      </c>
      <c r="D134" s="4" t="s">
        <v>384</v>
      </c>
      <c r="E134" s="14" t="s">
        <v>74</v>
      </c>
      <c r="F134" s="4" t="s">
        <v>83</v>
      </c>
      <c r="G134" s="5" t="s">
        <v>385</v>
      </c>
    </row>
    <row r="135" customFormat="false" ht="15" hidden="false" customHeight="false" outlineLevel="0" collapsed="false">
      <c r="A135" s="5" t="s">
        <v>386</v>
      </c>
      <c r="B135" s="4" t="s">
        <v>367</v>
      </c>
      <c r="C135" s="4" t="s">
        <v>81</v>
      </c>
      <c r="D135" s="4" t="s">
        <v>387</v>
      </c>
      <c r="E135" s="14" t="s">
        <v>74</v>
      </c>
      <c r="F135" s="4" t="s">
        <v>83</v>
      </c>
      <c r="G135" s="5" t="s">
        <v>388</v>
      </c>
    </row>
    <row r="136" customFormat="false" ht="15" hidden="false" customHeight="false" outlineLevel="0" collapsed="false">
      <c r="A136" s="5" t="s">
        <v>389</v>
      </c>
      <c r="B136" s="4" t="s">
        <v>367</v>
      </c>
      <c r="C136" s="4" t="s">
        <v>81</v>
      </c>
      <c r="D136" s="4" t="s">
        <v>390</v>
      </c>
      <c r="E136" s="14" t="s">
        <v>74</v>
      </c>
      <c r="F136" s="4" t="s">
        <v>83</v>
      </c>
      <c r="G136" s="5" t="s">
        <v>391</v>
      </c>
    </row>
    <row r="137" customFormat="false" ht="15" hidden="false" customHeight="false" outlineLevel="0" collapsed="false">
      <c r="A137" s="12" t="s">
        <v>392</v>
      </c>
      <c r="B137" s="13" t="s">
        <v>393</v>
      </c>
      <c r="C137" s="13" t="s">
        <v>54</v>
      </c>
      <c r="D137" s="13" t="s">
        <v>394</v>
      </c>
      <c r="E137" s="12" t="s">
        <v>56</v>
      </c>
      <c r="F137" s="12" t="s">
        <v>56</v>
      </c>
      <c r="G137" s="13"/>
    </row>
    <row r="138" customFormat="false" ht="15" hidden="false" customHeight="false" outlineLevel="0" collapsed="false">
      <c r="A138" s="12" t="s">
        <v>395</v>
      </c>
      <c r="B138" s="13" t="s">
        <v>393</v>
      </c>
      <c r="C138" s="13" t="s">
        <v>54</v>
      </c>
      <c r="D138" s="13" t="s">
        <v>396</v>
      </c>
      <c r="E138" s="12" t="s">
        <v>56</v>
      </c>
      <c r="F138" s="12" t="s">
        <v>56</v>
      </c>
      <c r="G138" s="13"/>
    </row>
    <row r="139" customFormat="false" ht="15" hidden="false" customHeight="false" outlineLevel="0" collapsed="false">
      <c r="A139" s="12" t="s">
        <v>397</v>
      </c>
      <c r="B139" s="13" t="s">
        <v>393</v>
      </c>
      <c r="C139" s="13" t="s">
        <v>54</v>
      </c>
      <c r="D139" s="13" t="s">
        <v>398</v>
      </c>
      <c r="E139" s="12" t="s">
        <v>56</v>
      </c>
      <c r="F139" s="12" t="s">
        <v>56</v>
      </c>
      <c r="G139" s="13"/>
    </row>
    <row r="140" customFormat="false" ht="15" hidden="false" customHeight="false" outlineLevel="0" collapsed="false">
      <c r="A140" s="12" t="s">
        <v>399</v>
      </c>
      <c r="B140" s="13" t="s">
        <v>393</v>
      </c>
      <c r="C140" s="13" t="s">
        <v>54</v>
      </c>
      <c r="D140" s="13" t="s">
        <v>400</v>
      </c>
      <c r="E140" s="12" t="s">
        <v>56</v>
      </c>
      <c r="F140" s="12" t="s">
        <v>56</v>
      </c>
      <c r="G140" s="13"/>
    </row>
    <row r="141" customFormat="false" ht="29.85" hidden="false" customHeight="false" outlineLevel="0" collapsed="false">
      <c r="A141" s="12" t="s">
        <v>401</v>
      </c>
      <c r="B141" s="13" t="s">
        <v>393</v>
      </c>
      <c r="C141" s="13" t="s">
        <v>69</v>
      </c>
      <c r="D141" s="13" t="s">
        <v>402</v>
      </c>
      <c r="E141" s="12" t="s">
        <v>56</v>
      </c>
      <c r="F141" s="12" t="s">
        <v>56</v>
      </c>
      <c r="G141" s="13"/>
    </row>
    <row r="142" customFormat="false" ht="29.85" hidden="false" customHeight="false" outlineLevel="0" collapsed="false">
      <c r="A142" s="12" t="s">
        <v>403</v>
      </c>
      <c r="B142" s="13" t="s">
        <v>393</v>
      </c>
      <c r="C142" s="13" t="s">
        <v>69</v>
      </c>
      <c r="D142" s="13" t="s">
        <v>404</v>
      </c>
      <c r="E142" s="12" t="s">
        <v>56</v>
      </c>
      <c r="F142" s="12" t="s">
        <v>56</v>
      </c>
      <c r="G142" s="13"/>
    </row>
    <row r="143" customFormat="false" ht="26.85" hidden="false" customHeight="false" outlineLevel="0" collapsed="false">
      <c r="A143" s="12" t="s">
        <v>405</v>
      </c>
      <c r="B143" s="13" t="s">
        <v>393</v>
      </c>
      <c r="C143" s="13" t="s">
        <v>72</v>
      </c>
      <c r="D143" s="12" t="s">
        <v>406</v>
      </c>
      <c r="E143" s="14" t="s">
        <v>74</v>
      </c>
      <c r="F143" s="12" t="s">
        <v>56</v>
      </c>
      <c r="G143" s="12" t="s">
        <v>407</v>
      </c>
    </row>
    <row r="144" customFormat="false" ht="29.85" hidden="false" customHeight="false" outlineLevel="0" collapsed="false">
      <c r="A144" s="12" t="s">
        <v>408</v>
      </c>
      <c r="B144" s="13" t="s">
        <v>393</v>
      </c>
      <c r="C144" s="13" t="s">
        <v>72</v>
      </c>
      <c r="D144" s="12" t="s">
        <v>409</v>
      </c>
      <c r="E144" s="14" t="s">
        <v>74</v>
      </c>
      <c r="F144" s="12" t="s">
        <v>56</v>
      </c>
      <c r="G144" s="12" t="s">
        <v>407</v>
      </c>
    </row>
    <row r="145" customFormat="false" ht="29.85" hidden="false" customHeight="false" outlineLevel="0" collapsed="false">
      <c r="A145" s="12" t="s">
        <v>410</v>
      </c>
      <c r="B145" s="13" t="s">
        <v>393</v>
      </c>
      <c r="C145" s="13" t="s">
        <v>72</v>
      </c>
      <c r="D145" s="13" t="s">
        <v>411</v>
      </c>
      <c r="E145" s="14" t="s">
        <v>74</v>
      </c>
      <c r="F145" s="12" t="s">
        <v>56</v>
      </c>
      <c r="G145" s="12" t="s">
        <v>407</v>
      </c>
    </row>
    <row r="146" customFormat="false" ht="26.85" hidden="false" customHeight="false" outlineLevel="0" collapsed="false">
      <c r="A146" s="12" t="s">
        <v>412</v>
      </c>
      <c r="B146" s="13" t="s">
        <v>393</v>
      </c>
      <c r="C146" s="13" t="s">
        <v>72</v>
      </c>
      <c r="D146" s="13" t="s">
        <v>413</v>
      </c>
      <c r="E146" s="14" t="s">
        <v>74</v>
      </c>
      <c r="F146" s="12" t="s">
        <v>56</v>
      </c>
      <c r="G146" s="12" t="s">
        <v>407</v>
      </c>
    </row>
    <row r="147" customFormat="false" ht="15" hidden="false" customHeight="false" outlineLevel="0" collapsed="false">
      <c r="A147" s="12" t="s">
        <v>414</v>
      </c>
      <c r="B147" s="13" t="s">
        <v>393</v>
      </c>
      <c r="C147" s="13" t="s">
        <v>81</v>
      </c>
      <c r="D147" s="13" t="s">
        <v>415</v>
      </c>
      <c r="E147" s="14" t="s">
        <v>74</v>
      </c>
      <c r="F147" s="13" t="s">
        <v>83</v>
      </c>
      <c r="G147" s="12" t="s">
        <v>416</v>
      </c>
    </row>
    <row r="148" customFormat="false" ht="15" hidden="false" customHeight="false" outlineLevel="0" collapsed="false">
      <c r="A148" s="12" t="s">
        <v>417</v>
      </c>
      <c r="B148" s="13" t="s">
        <v>393</v>
      </c>
      <c r="C148" s="13" t="s">
        <v>81</v>
      </c>
      <c r="D148" s="13" t="s">
        <v>418</v>
      </c>
      <c r="E148" s="14" t="s">
        <v>74</v>
      </c>
      <c r="F148" s="13" t="s">
        <v>83</v>
      </c>
      <c r="G148" s="12" t="s">
        <v>419</v>
      </c>
    </row>
    <row r="149" customFormat="false" ht="15" hidden="false" customHeight="false" outlineLevel="0" collapsed="false">
      <c r="A149" s="12" t="s">
        <v>420</v>
      </c>
      <c r="B149" s="13" t="s">
        <v>393</v>
      </c>
      <c r="C149" s="13" t="s">
        <v>81</v>
      </c>
      <c r="D149" s="13" t="s">
        <v>421</v>
      </c>
      <c r="E149" s="14" t="s">
        <v>74</v>
      </c>
      <c r="F149" s="13" t="s">
        <v>93</v>
      </c>
      <c r="G149" s="12" t="s">
        <v>422</v>
      </c>
    </row>
    <row r="150" customFormat="false" ht="15" hidden="false" customHeight="false" outlineLevel="0" collapsed="false">
      <c r="A150" s="12" t="s">
        <v>423</v>
      </c>
      <c r="B150" s="13" t="s">
        <v>393</v>
      </c>
      <c r="C150" s="13" t="s">
        <v>81</v>
      </c>
      <c r="D150" s="13" t="s">
        <v>424</v>
      </c>
      <c r="E150" s="14" t="s">
        <v>74</v>
      </c>
      <c r="F150" s="13" t="s">
        <v>83</v>
      </c>
      <c r="G150" s="12" t="s">
        <v>425</v>
      </c>
    </row>
    <row r="151" customFormat="false" ht="15" hidden="false" customHeight="false" outlineLevel="0" collapsed="false">
      <c r="A151" s="12" t="s">
        <v>426</v>
      </c>
      <c r="B151" s="13" t="s">
        <v>393</v>
      </c>
      <c r="C151" s="13" t="s">
        <v>81</v>
      </c>
      <c r="D151" s="13" t="s">
        <v>427</v>
      </c>
      <c r="E151" s="14" t="s">
        <v>74</v>
      </c>
      <c r="F151" s="13" t="s">
        <v>83</v>
      </c>
      <c r="G151" s="12" t="s">
        <v>428</v>
      </c>
    </row>
    <row r="152" customFormat="false" ht="15" hidden="false" customHeight="false" outlineLevel="0" collapsed="false">
      <c r="A152" s="12" t="s">
        <v>429</v>
      </c>
      <c r="B152" s="13" t="s">
        <v>393</v>
      </c>
      <c r="C152" s="13" t="s">
        <v>81</v>
      </c>
      <c r="D152" s="13" t="s">
        <v>430</v>
      </c>
      <c r="E152" s="14" t="s">
        <v>74</v>
      </c>
      <c r="F152" s="13" t="s">
        <v>83</v>
      </c>
      <c r="G152" s="12" t="s">
        <v>431</v>
      </c>
    </row>
    <row r="153" customFormat="false" ht="15" hidden="false" customHeight="false" outlineLevel="0" collapsed="false">
      <c r="A153" s="12" t="s">
        <v>432</v>
      </c>
      <c r="B153" s="13" t="s">
        <v>393</v>
      </c>
      <c r="C153" s="13" t="s">
        <v>81</v>
      </c>
      <c r="D153" s="13" t="s">
        <v>433</v>
      </c>
      <c r="E153" s="14" t="s">
        <v>74</v>
      </c>
      <c r="F153" s="13" t="s">
        <v>83</v>
      </c>
      <c r="G153" s="12" t="s">
        <v>434</v>
      </c>
    </row>
    <row r="154" customFormat="false" ht="15" hidden="false" customHeight="false" outlineLevel="0" collapsed="false">
      <c r="A154" s="12" t="s">
        <v>435</v>
      </c>
      <c r="B154" s="13" t="s">
        <v>393</v>
      </c>
      <c r="C154" s="13" t="s">
        <v>81</v>
      </c>
      <c r="D154" s="13" t="s">
        <v>436</v>
      </c>
      <c r="E154" s="14" t="s">
        <v>74</v>
      </c>
      <c r="F154" s="13" t="s">
        <v>83</v>
      </c>
      <c r="G154" s="12" t="s">
        <v>437</v>
      </c>
    </row>
    <row r="155" customFormat="false" ht="15" hidden="false" customHeight="false" outlineLevel="0" collapsed="false">
      <c r="A155" s="12" t="s">
        <v>438</v>
      </c>
      <c r="B155" s="13" t="s">
        <v>393</v>
      </c>
      <c r="C155" s="13" t="s">
        <v>81</v>
      </c>
      <c r="D155" s="13" t="s">
        <v>439</v>
      </c>
      <c r="E155" s="14" t="s">
        <v>74</v>
      </c>
      <c r="F155" s="13" t="s">
        <v>83</v>
      </c>
      <c r="G155" s="12" t="s">
        <v>440</v>
      </c>
    </row>
    <row r="156" customFormat="false" ht="15" hidden="false" customHeight="false" outlineLevel="0" collapsed="false">
      <c r="A156" s="5" t="s">
        <v>441</v>
      </c>
      <c r="B156" s="4" t="s">
        <v>442</v>
      </c>
      <c r="C156" s="4" t="s">
        <v>81</v>
      </c>
      <c r="D156" s="4" t="s">
        <v>443</v>
      </c>
      <c r="E156" s="14" t="s">
        <v>74</v>
      </c>
      <c r="F156" s="4" t="s">
        <v>444</v>
      </c>
      <c r="G156" s="5" t="s">
        <v>445</v>
      </c>
    </row>
    <row r="157" customFormat="false" ht="15" hidden="false" customHeight="false" outlineLevel="0" collapsed="false">
      <c r="A157" s="5" t="s">
        <v>446</v>
      </c>
      <c r="B157" s="4" t="s">
        <v>442</v>
      </c>
      <c r="C157" s="4" t="s">
        <v>81</v>
      </c>
      <c r="D157" s="4" t="s">
        <v>447</v>
      </c>
      <c r="E157" s="14" t="s">
        <v>74</v>
      </c>
      <c r="F157" s="4" t="s">
        <v>83</v>
      </c>
      <c r="G157" s="5" t="s">
        <v>448</v>
      </c>
    </row>
    <row r="158" customFormat="false" ht="15" hidden="false" customHeight="false" outlineLevel="0" collapsed="false">
      <c r="A158" s="12" t="s">
        <v>449</v>
      </c>
      <c r="B158" s="12" t="s">
        <v>450</v>
      </c>
      <c r="C158" s="13" t="s">
        <v>30</v>
      </c>
      <c r="D158" s="13" t="s">
        <v>451</v>
      </c>
      <c r="E158" s="15" t="s">
        <v>30</v>
      </c>
      <c r="F158" s="12" t="s">
        <v>56</v>
      </c>
      <c r="G158" s="13" t="s">
        <v>452</v>
      </c>
    </row>
    <row r="159" customFormat="false" ht="15" hidden="false" customHeight="false" outlineLevel="0" collapsed="false">
      <c r="A159" s="12" t="s">
        <v>453</v>
      </c>
      <c r="B159" s="12" t="s">
        <v>450</v>
      </c>
      <c r="C159" s="13" t="s">
        <v>30</v>
      </c>
      <c r="D159" s="13" t="s">
        <v>454</v>
      </c>
      <c r="E159" s="15" t="s">
        <v>30</v>
      </c>
      <c r="F159" s="12" t="s">
        <v>56</v>
      </c>
      <c r="G159" s="13" t="s">
        <v>455</v>
      </c>
    </row>
    <row r="160" customFormat="false" ht="15" hidden="false" customHeight="false" outlineLevel="0" collapsed="false">
      <c r="A160" s="12" t="s">
        <v>456</v>
      </c>
      <c r="B160" s="12" t="s">
        <v>450</v>
      </c>
      <c r="C160" s="13" t="s">
        <v>30</v>
      </c>
      <c r="D160" s="13" t="s">
        <v>457</v>
      </c>
      <c r="E160" s="15" t="s">
        <v>30</v>
      </c>
      <c r="F160" s="12" t="s">
        <v>56</v>
      </c>
      <c r="G160" s="13" t="s">
        <v>458</v>
      </c>
    </row>
    <row r="161" customFormat="false" ht="15" hidden="false" customHeight="false" outlineLevel="0" collapsed="false">
      <c r="A161" s="12" t="s">
        <v>459</v>
      </c>
      <c r="B161" s="12" t="s">
        <v>450</v>
      </c>
      <c r="C161" s="13" t="s">
        <v>30</v>
      </c>
      <c r="D161" s="13" t="s">
        <v>460</v>
      </c>
      <c r="E161" s="15" t="s">
        <v>30</v>
      </c>
      <c r="F161" s="12" t="s">
        <v>56</v>
      </c>
      <c r="G161" s="13" t="s">
        <v>461</v>
      </c>
    </row>
    <row r="162" customFormat="false" ht="15" hidden="false" customHeight="false" outlineLevel="0" collapsed="false">
      <c r="A162" s="12" t="s">
        <v>462</v>
      </c>
      <c r="B162" s="12" t="s">
        <v>450</v>
      </c>
      <c r="C162" s="13" t="s">
        <v>30</v>
      </c>
      <c r="D162" s="13" t="s">
        <v>463</v>
      </c>
      <c r="E162" s="15" t="s">
        <v>30</v>
      </c>
      <c r="F162" s="12" t="s">
        <v>56</v>
      </c>
      <c r="G162" s="13" t="s">
        <v>464</v>
      </c>
    </row>
    <row r="163" customFormat="false" ht="15" hidden="false" customHeight="false" outlineLevel="0" collapsed="false">
      <c r="A163" s="12" t="s">
        <v>465</v>
      </c>
      <c r="B163" s="12" t="s">
        <v>450</v>
      </c>
      <c r="C163" s="13" t="s">
        <v>30</v>
      </c>
      <c r="D163" s="13" t="s">
        <v>466</v>
      </c>
      <c r="E163" s="15" t="s">
        <v>30</v>
      </c>
      <c r="F163" s="12" t="s">
        <v>56</v>
      </c>
      <c r="G163" s="12" t="s">
        <v>467</v>
      </c>
    </row>
    <row r="164" customFormat="false" ht="15" hidden="false" customHeight="false" outlineLevel="0" collapsed="false">
      <c r="A164" s="12" t="s">
        <v>468</v>
      </c>
      <c r="B164" s="12" t="s">
        <v>450</v>
      </c>
      <c r="C164" s="13" t="s">
        <v>30</v>
      </c>
      <c r="D164" s="13" t="s">
        <v>469</v>
      </c>
      <c r="E164" s="15" t="s">
        <v>30</v>
      </c>
      <c r="F164" s="12" t="s">
        <v>56</v>
      </c>
      <c r="G164" s="13" t="s">
        <v>470</v>
      </c>
    </row>
  </sheetData>
  <autoFilter ref="A11:G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23.85" hidden="false" customHeight="false" outlineLevel="0" collapsed="false">
      <c r="A1" s="16" t="s">
        <v>471</v>
      </c>
    </row>
    <row r="2" customFormat="false" ht="15" hidden="false" customHeight="false" outlineLevel="0" collapsed="false">
      <c r="A2" s="2" t="s">
        <v>472</v>
      </c>
    </row>
    <row r="4" customFormat="false" ht="19.4" hidden="false" customHeight="false" outlineLevel="0" collapsed="false">
      <c r="A4" s="6" t="s">
        <v>473</v>
      </c>
    </row>
    <row r="5" customFormat="false" ht="15" hidden="false" customHeight="false" outlineLevel="0" collapsed="false">
      <c r="A5" s="17" t="s">
        <v>474</v>
      </c>
      <c r="B5" s="8" t="s">
        <v>47</v>
      </c>
      <c r="C5" s="8" t="s">
        <v>475</v>
      </c>
      <c r="D5" s="8" t="s">
        <v>476</v>
      </c>
      <c r="E5" s="8" t="s">
        <v>46</v>
      </c>
      <c r="F5" s="8" t="s">
        <v>477</v>
      </c>
      <c r="G5" s="8" t="s">
        <v>478</v>
      </c>
    </row>
    <row r="6" customFormat="false" ht="29.85" hidden="false" customHeight="false" outlineLevel="0" collapsed="false">
      <c r="A6" s="5" t="s">
        <v>479</v>
      </c>
      <c r="B6" s="4" t="s">
        <v>81</v>
      </c>
      <c r="C6" s="4" t="s">
        <v>53</v>
      </c>
      <c r="D6" s="4" t="s">
        <v>480</v>
      </c>
      <c r="E6" s="5" t="s">
        <v>481</v>
      </c>
      <c r="F6" s="4" t="s">
        <v>482</v>
      </c>
      <c r="G6" s="5" t="s">
        <v>483</v>
      </c>
    </row>
    <row r="7" customFormat="false" ht="26.85" hidden="false" customHeight="false" outlineLevel="0" collapsed="false">
      <c r="A7" s="5" t="s">
        <v>484</v>
      </c>
      <c r="B7" s="4" t="s">
        <v>81</v>
      </c>
      <c r="C7" s="4" t="s">
        <v>105</v>
      </c>
      <c r="D7" s="4" t="s">
        <v>485</v>
      </c>
      <c r="E7" s="5" t="s">
        <v>486</v>
      </c>
      <c r="F7" s="4" t="s">
        <v>487</v>
      </c>
      <c r="G7" s="5" t="s">
        <v>488</v>
      </c>
    </row>
    <row r="8" customFormat="false" ht="26.85" hidden="false" customHeight="false" outlineLevel="0" collapsed="false">
      <c r="A8" s="5" t="s">
        <v>489</v>
      </c>
      <c r="B8" s="4" t="s">
        <v>81</v>
      </c>
      <c r="C8" s="4" t="s">
        <v>145</v>
      </c>
      <c r="D8" s="4" t="s">
        <v>490</v>
      </c>
      <c r="E8" s="5" t="s">
        <v>491</v>
      </c>
      <c r="F8" s="4" t="s">
        <v>492</v>
      </c>
      <c r="G8" s="5" t="s">
        <v>493</v>
      </c>
    </row>
    <row r="9" customFormat="false" ht="26.85" hidden="false" customHeight="false" outlineLevel="0" collapsed="false">
      <c r="A9" s="5" t="s">
        <v>494</v>
      </c>
      <c r="B9" s="4" t="s">
        <v>81</v>
      </c>
      <c r="C9" s="4" t="s">
        <v>495</v>
      </c>
      <c r="D9" s="4" t="s">
        <v>496</v>
      </c>
      <c r="E9" s="5" t="s">
        <v>497</v>
      </c>
      <c r="F9" s="4" t="s">
        <v>498</v>
      </c>
      <c r="G9" s="5" t="s">
        <v>56</v>
      </c>
    </row>
    <row r="10" customFormat="false" ht="58.2" hidden="false" customHeight="false" outlineLevel="0" collapsed="false">
      <c r="A10" s="5" t="s">
        <v>499</v>
      </c>
      <c r="B10" s="4" t="s">
        <v>81</v>
      </c>
      <c r="C10" s="4" t="s">
        <v>229</v>
      </c>
      <c r="D10" s="4" t="s">
        <v>500</v>
      </c>
      <c r="E10" s="5" t="s">
        <v>501</v>
      </c>
      <c r="F10" s="4" t="s">
        <v>502</v>
      </c>
      <c r="G10" s="5" t="s">
        <v>503</v>
      </c>
    </row>
    <row r="11" customFormat="false" ht="29.85" hidden="false" customHeight="false" outlineLevel="0" collapsed="false">
      <c r="A11" s="5" t="s">
        <v>504</v>
      </c>
      <c r="B11" s="4" t="s">
        <v>81</v>
      </c>
      <c r="C11" s="4" t="s">
        <v>281</v>
      </c>
      <c r="D11" s="4" t="s">
        <v>505</v>
      </c>
      <c r="E11" s="5" t="s">
        <v>506</v>
      </c>
      <c r="F11" s="4" t="s">
        <v>507</v>
      </c>
      <c r="G11" s="5" t="s">
        <v>508</v>
      </c>
    </row>
    <row r="12" customFormat="false" ht="15" hidden="false" customHeight="false" outlineLevel="0" collapsed="false">
      <c r="A12" s="5" t="s">
        <v>509</v>
      </c>
      <c r="B12" s="4" t="s">
        <v>81</v>
      </c>
      <c r="C12" s="4" t="s">
        <v>510</v>
      </c>
      <c r="D12" s="4" t="s">
        <v>511</v>
      </c>
      <c r="E12" s="5" t="s">
        <v>512</v>
      </c>
      <c r="F12" s="4" t="s">
        <v>513</v>
      </c>
      <c r="G12" s="5" t="s">
        <v>514</v>
      </c>
    </row>
    <row r="13" customFormat="false" ht="29.85" hidden="false" customHeight="false" outlineLevel="0" collapsed="false">
      <c r="A13" s="5" t="s">
        <v>515</v>
      </c>
      <c r="B13" s="4" t="s">
        <v>81</v>
      </c>
      <c r="C13" s="4" t="s">
        <v>367</v>
      </c>
      <c r="D13" s="4" t="s">
        <v>516</v>
      </c>
      <c r="E13" s="5" t="s">
        <v>517</v>
      </c>
      <c r="F13" s="5" t="s">
        <v>518</v>
      </c>
      <c r="G13" s="5" t="s">
        <v>519</v>
      </c>
    </row>
    <row r="14" customFormat="false" ht="72.35" hidden="false" customHeight="false" outlineLevel="0" collapsed="false">
      <c r="A14" s="5" t="s">
        <v>520</v>
      </c>
      <c r="B14" s="4" t="s">
        <v>521</v>
      </c>
      <c r="C14" s="4" t="s">
        <v>522</v>
      </c>
      <c r="D14" s="5" t="s">
        <v>523</v>
      </c>
      <c r="E14" s="5" t="s">
        <v>524</v>
      </c>
      <c r="F14" s="4" t="s">
        <v>525</v>
      </c>
      <c r="G14" s="5" t="s">
        <v>526</v>
      </c>
    </row>
    <row r="15" customFormat="false" ht="15" hidden="false" customHeight="false" outlineLevel="0" collapsed="false">
      <c r="A15" s="5" t="s">
        <v>527</v>
      </c>
      <c r="B15" s="4" t="s">
        <v>521</v>
      </c>
      <c r="C15" s="4" t="s">
        <v>528</v>
      </c>
      <c r="D15" s="4" t="s">
        <v>529</v>
      </c>
      <c r="E15" s="5" t="s">
        <v>524</v>
      </c>
      <c r="F15" s="4" t="s">
        <v>530</v>
      </c>
      <c r="G15" s="5" t="s">
        <v>526</v>
      </c>
    </row>
    <row r="17" customFormat="false" ht="19.4" hidden="false" customHeight="false" outlineLevel="0" collapsed="false">
      <c r="A17" s="6" t="s">
        <v>531</v>
      </c>
    </row>
    <row r="18" customFormat="false" ht="15" hidden="false" customHeight="false" outlineLevel="0" collapsed="false">
      <c r="A18" s="17" t="s">
        <v>474</v>
      </c>
      <c r="B18" s="8" t="s">
        <v>47</v>
      </c>
      <c r="C18" s="8" t="s">
        <v>475</v>
      </c>
      <c r="D18" s="8" t="s">
        <v>476</v>
      </c>
      <c r="E18" s="8" t="s">
        <v>532</v>
      </c>
    </row>
    <row r="19" customFormat="false" ht="58.2" hidden="false" customHeight="false" outlineLevel="0" collapsed="false">
      <c r="A19" s="5" t="s">
        <v>479</v>
      </c>
      <c r="B19" s="4" t="s">
        <v>533</v>
      </c>
      <c r="C19" s="4" t="s">
        <v>534</v>
      </c>
      <c r="D19" s="4" t="s">
        <v>535</v>
      </c>
      <c r="E19" s="4" t="s">
        <v>536</v>
      </c>
    </row>
    <row r="20" customFormat="false" ht="44" hidden="false" customHeight="false" outlineLevel="0" collapsed="false">
      <c r="A20" s="5" t="s">
        <v>484</v>
      </c>
      <c r="B20" s="4" t="s">
        <v>533</v>
      </c>
      <c r="C20" s="4" t="s">
        <v>537</v>
      </c>
      <c r="D20" s="4" t="s">
        <v>538</v>
      </c>
      <c r="E20" s="5" t="s">
        <v>539</v>
      </c>
    </row>
    <row r="21" customFormat="false" ht="83.55" hidden="false" customHeight="false" outlineLevel="0" collapsed="false">
      <c r="A21" s="5" t="s">
        <v>489</v>
      </c>
      <c r="B21" s="4" t="s">
        <v>540</v>
      </c>
      <c r="C21" s="4" t="s">
        <v>541</v>
      </c>
      <c r="D21" s="4" t="s">
        <v>542</v>
      </c>
      <c r="E21" s="5" t="s">
        <v>543</v>
      </c>
    </row>
    <row r="22" customFormat="false" ht="86.55" hidden="false" customHeight="false" outlineLevel="0" collapsed="false">
      <c r="A22" s="5" t="s">
        <v>494</v>
      </c>
      <c r="B22" s="4" t="s">
        <v>544</v>
      </c>
      <c r="C22" s="4" t="s">
        <v>545</v>
      </c>
      <c r="D22" s="4" t="s">
        <v>546</v>
      </c>
      <c r="E22" s="4" t="s">
        <v>547</v>
      </c>
    </row>
    <row r="23" customFormat="false" ht="15" hidden="false" customHeight="false" outlineLevel="0" collapsed="false">
      <c r="A23" s="5" t="s">
        <v>499</v>
      </c>
      <c r="B23" s="4" t="s">
        <v>544</v>
      </c>
      <c r="C23" s="4" t="s">
        <v>548</v>
      </c>
      <c r="D23" s="4" t="s">
        <v>549</v>
      </c>
      <c r="E23" s="4" t="s">
        <v>550</v>
      </c>
    </row>
    <row r="24" customFormat="false" ht="58.2" hidden="false" customHeight="false" outlineLevel="0" collapsed="false">
      <c r="A24" s="5" t="s">
        <v>504</v>
      </c>
      <c r="B24" s="4" t="s">
        <v>544</v>
      </c>
      <c r="C24" s="5" t="s">
        <v>551</v>
      </c>
      <c r="D24" s="4" t="s">
        <v>552</v>
      </c>
      <c r="E24" s="5" t="s">
        <v>553</v>
      </c>
    </row>
    <row r="25" customFormat="false" ht="83.55" hidden="false" customHeight="false" outlineLevel="0" collapsed="false">
      <c r="A25" s="5" t="s">
        <v>509</v>
      </c>
      <c r="B25" s="4" t="s">
        <v>544</v>
      </c>
      <c r="C25" s="4" t="s">
        <v>554</v>
      </c>
      <c r="D25" s="4" t="s">
        <v>555</v>
      </c>
      <c r="E25" s="5" t="s">
        <v>556</v>
      </c>
    </row>
    <row r="26" customFormat="false" ht="44" hidden="false" customHeight="false" outlineLevel="0" collapsed="false">
      <c r="A26" s="5" t="s">
        <v>515</v>
      </c>
      <c r="B26" s="4" t="s">
        <v>557</v>
      </c>
      <c r="C26" s="4" t="s">
        <v>558</v>
      </c>
      <c r="D26" s="4" t="s">
        <v>559</v>
      </c>
      <c r="E26" s="4" t="s">
        <v>560</v>
      </c>
    </row>
    <row r="27" customFormat="false" ht="44" hidden="false" customHeight="false" outlineLevel="0" collapsed="false">
      <c r="A27" s="5" t="s">
        <v>561</v>
      </c>
      <c r="B27" s="4" t="s">
        <v>562</v>
      </c>
      <c r="C27" s="4" t="s">
        <v>563</v>
      </c>
      <c r="D27" s="4" t="s">
        <v>564</v>
      </c>
      <c r="E27" s="4" t="s">
        <v>565</v>
      </c>
    </row>
    <row r="28" customFormat="false" ht="29.85" hidden="false" customHeight="false" outlineLevel="0" collapsed="false">
      <c r="A28" s="5" t="s">
        <v>520</v>
      </c>
      <c r="B28" s="4" t="s">
        <v>566</v>
      </c>
      <c r="C28" s="4" t="s">
        <v>567</v>
      </c>
      <c r="D28" s="4" t="s">
        <v>568</v>
      </c>
      <c r="E28" s="4" t="s">
        <v>569</v>
      </c>
    </row>
    <row r="30" customFormat="false" ht="19.4" hidden="false" customHeight="false" outlineLevel="0" collapsed="false">
      <c r="A30" s="6" t="s">
        <v>570</v>
      </c>
    </row>
    <row r="31" customFormat="false" ht="15" hidden="false" customHeight="false" outlineLevel="0" collapsed="false">
      <c r="A31" s="8" t="s">
        <v>571</v>
      </c>
      <c r="B31" s="8" t="s">
        <v>572</v>
      </c>
      <c r="C31" s="8" t="s">
        <v>573</v>
      </c>
      <c r="D31" s="8" t="s">
        <v>574</v>
      </c>
    </row>
    <row r="32" customFormat="false" ht="86.55" hidden="false" customHeight="false" outlineLevel="0" collapsed="false">
      <c r="A32" s="4" t="s">
        <v>575</v>
      </c>
      <c r="B32" s="5" t="s">
        <v>576</v>
      </c>
      <c r="C32" s="5" t="s">
        <v>577</v>
      </c>
      <c r="D32" s="4" t="s">
        <v>578</v>
      </c>
    </row>
    <row r="33" customFormat="false" ht="58.2" hidden="false" customHeight="false" outlineLevel="0" collapsed="false">
      <c r="A33" s="4" t="s">
        <v>579</v>
      </c>
      <c r="B33" s="5" t="s">
        <v>576</v>
      </c>
      <c r="C33" s="5" t="s">
        <v>580</v>
      </c>
      <c r="D33" s="5" t="s">
        <v>581</v>
      </c>
    </row>
    <row r="34" customFormat="false" ht="69.4" hidden="false" customHeight="false" outlineLevel="0" collapsed="false">
      <c r="A34" s="4" t="s">
        <v>582</v>
      </c>
      <c r="B34" s="5" t="s">
        <v>583</v>
      </c>
      <c r="C34" s="4" t="s">
        <v>584</v>
      </c>
      <c r="D34" s="4" t="s">
        <v>585</v>
      </c>
    </row>
    <row r="35" customFormat="false" ht="86.55" hidden="false" customHeight="false" outlineLevel="0" collapsed="false">
      <c r="A35" s="4" t="s">
        <v>586</v>
      </c>
      <c r="B35" s="5" t="s">
        <v>583</v>
      </c>
      <c r="C35" s="4" t="s">
        <v>587</v>
      </c>
      <c r="D35" s="4" t="s">
        <v>588</v>
      </c>
    </row>
    <row r="36" customFormat="false" ht="69.4" hidden="false" customHeight="false" outlineLevel="0" collapsed="false">
      <c r="A36" s="4" t="s">
        <v>589</v>
      </c>
      <c r="B36" s="5" t="s">
        <v>583</v>
      </c>
      <c r="C36" s="4" t="s">
        <v>587</v>
      </c>
      <c r="D36" s="4" t="s">
        <v>590</v>
      </c>
    </row>
    <row r="37" customFormat="false" ht="58.2" hidden="false" customHeight="false" outlineLevel="0" collapsed="false">
      <c r="A37" s="4" t="s">
        <v>591</v>
      </c>
      <c r="B37" s="5" t="s">
        <v>576</v>
      </c>
      <c r="C37" s="4" t="s">
        <v>587</v>
      </c>
      <c r="D37" s="4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593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597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598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599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600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601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52</v>
      </c>
      <c r="B13" s="4" t="s">
        <v>81</v>
      </c>
      <c r="C13" s="4" t="s">
        <v>55</v>
      </c>
      <c r="D13" s="4"/>
      <c r="E13" s="4"/>
      <c r="F13" s="4"/>
    </row>
    <row r="14" customFormat="false" ht="15" hidden="false" customHeight="true" outlineLevel="0" collapsed="false">
      <c r="A14" s="5" t="s">
        <v>57</v>
      </c>
      <c r="B14" s="4" t="s">
        <v>81</v>
      </c>
      <c r="C14" s="4" t="s">
        <v>58</v>
      </c>
      <c r="D14" s="4"/>
      <c r="E14" s="4"/>
      <c r="F14" s="4"/>
    </row>
    <row r="15" customFormat="false" ht="15" hidden="false" customHeight="true" outlineLevel="0" collapsed="false">
      <c r="A15" s="5" t="s">
        <v>59</v>
      </c>
      <c r="B15" s="4" t="s">
        <v>81</v>
      </c>
      <c r="C15" s="4" t="s">
        <v>60</v>
      </c>
      <c r="D15" s="4"/>
      <c r="E15" s="4"/>
      <c r="F15" s="4"/>
    </row>
    <row r="16" customFormat="false" ht="15" hidden="false" customHeight="true" outlineLevel="0" collapsed="false">
      <c r="A16" s="5" t="s">
        <v>61</v>
      </c>
      <c r="B16" s="4" t="s">
        <v>81</v>
      </c>
      <c r="C16" s="4" t="s">
        <v>62</v>
      </c>
      <c r="D16" s="4"/>
      <c r="E16" s="4"/>
      <c r="F16" s="4"/>
    </row>
    <row r="17" customFormat="false" ht="15" hidden="false" customHeight="true" outlineLevel="0" collapsed="false">
      <c r="A17" s="5" t="s">
        <v>63</v>
      </c>
      <c r="B17" s="4" t="s">
        <v>603</v>
      </c>
      <c r="C17" s="4" t="s">
        <v>65</v>
      </c>
      <c r="D17" s="4"/>
      <c r="E17" s="4"/>
      <c r="F17" s="4"/>
    </row>
    <row r="18" customFormat="false" ht="15" hidden="false" customHeight="true" outlineLevel="0" collapsed="false">
      <c r="A18" s="5" t="s">
        <v>66</v>
      </c>
      <c r="B18" s="4" t="s">
        <v>603</v>
      </c>
      <c r="C18" s="4" t="s">
        <v>67</v>
      </c>
      <c r="D18" s="4"/>
      <c r="E18" s="4"/>
      <c r="F18" s="4"/>
    </row>
    <row r="19" customFormat="false" ht="15" hidden="false" customHeight="true" outlineLevel="0" collapsed="false">
      <c r="A19" s="5" t="s">
        <v>68</v>
      </c>
      <c r="B19" s="4" t="s">
        <v>604</v>
      </c>
      <c r="C19" s="5" t="s">
        <v>70</v>
      </c>
      <c r="D19" s="5"/>
      <c r="E19" s="5"/>
      <c r="F19" s="5"/>
    </row>
    <row r="21" customFormat="false" ht="19.4" hidden="false" customHeight="false" outlineLevel="0" collapsed="false">
      <c r="A21" s="6" t="s">
        <v>605</v>
      </c>
    </row>
    <row r="22" customFormat="false" ht="15" hidden="false" customHeight="false" outlineLevel="0" collapsed="false">
      <c r="A22" s="8" t="s">
        <v>45</v>
      </c>
      <c r="B22" s="8" t="s">
        <v>606</v>
      </c>
      <c r="C22" s="8"/>
      <c r="D22" s="8"/>
      <c r="E22" s="8"/>
      <c r="F22" s="8" t="s">
        <v>34</v>
      </c>
    </row>
    <row r="23" customFormat="false" ht="15" hidden="false" customHeight="true" outlineLevel="0" collapsed="false">
      <c r="A23" s="5" t="s">
        <v>71</v>
      </c>
      <c r="B23" s="4" t="s">
        <v>73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76</v>
      </c>
      <c r="B24" s="4" t="s">
        <v>77</v>
      </c>
      <c r="C24" s="4"/>
      <c r="D24" s="4"/>
      <c r="E24" s="4"/>
      <c r="F24" s="4" t="s">
        <v>607</v>
      </c>
    </row>
    <row r="25" customFormat="false" ht="29.85" hidden="false" customHeight="true" outlineLevel="0" collapsed="false">
      <c r="A25" s="5" t="s">
        <v>78</v>
      </c>
      <c r="B25" s="5" t="s">
        <v>79</v>
      </c>
      <c r="C25" s="5"/>
      <c r="D25" s="5"/>
      <c r="E25" s="5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75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80</v>
      </c>
      <c r="B30" s="4" t="s">
        <v>82</v>
      </c>
      <c r="C30" s="5" t="s">
        <v>613</v>
      </c>
      <c r="D30" s="5" t="s">
        <v>614</v>
      </c>
      <c r="E30" s="4" t="s">
        <v>615</v>
      </c>
      <c r="F30" s="14" t="s">
        <v>616</v>
      </c>
    </row>
    <row r="31" customFormat="false" ht="15" hidden="false" customHeight="false" outlineLevel="0" collapsed="false">
      <c r="A31" s="5" t="s">
        <v>85</v>
      </c>
      <c r="B31" s="4" t="s">
        <v>86</v>
      </c>
      <c r="C31" s="5" t="s">
        <v>613</v>
      </c>
      <c r="D31" s="5" t="s">
        <v>617</v>
      </c>
      <c r="E31" s="4" t="s">
        <v>615</v>
      </c>
      <c r="F31" s="14" t="s">
        <v>618</v>
      </c>
    </row>
    <row r="32" customFormat="false" ht="15" hidden="false" customHeight="false" outlineLevel="0" collapsed="false">
      <c r="A32" s="5" t="s">
        <v>88</v>
      </c>
      <c r="B32" s="4" t="s">
        <v>89</v>
      </c>
      <c r="C32" s="5" t="s">
        <v>619</v>
      </c>
      <c r="D32" s="5" t="s">
        <v>620</v>
      </c>
      <c r="E32" s="4" t="s">
        <v>621</v>
      </c>
      <c r="F32" s="14" t="s">
        <v>618</v>
      </c>
    </row>
    <row r="33" customFormat="false" ht="15" hidden="false" customHeight="false" outlineLevel="0" collapsed="false">
      <c r="A33" s="5" t="s">
        <v>91</v>
      </c>
      <c r="B33" s="4" t="s">
        <v>92</v>
      </c>
      <c r="C33" s="5" t="s">
        <v>622</v>
      </c>
      <c r="D33" s="5" t="s">
        <v>623</v>
      </c>
      <c r="E33" s="4" t="s">
        <v>621</v>
      </c>
      <c r="F33" s="21" t="s">
        <v>624</v>
      </c>
    </row>
    <row r="34" customFormat="false" ht="15" hidden="false" customHeight="false" outlineLevel="0" collapsed="false">
      <c r="A34" s="5" t="s">
        <v>95</v>
      </c>
      <c r="B34" s="4" t="s">
        <v>96</v>
      </c>
      <c r="C34" s="5" t="s">
        <v>613</v>
      </c>
      <c r="D34" s="5" t="s">
        <v>625</v>
      </c>
      <c r="E34" s="4" t="s">
        <v>615</v>
      </c>
      <c r="F34" s="14" t="s">
        <v>618</v>
      </c>
    </row>
    <row r="35" customFormat="false" ht="15" hidden="false" customHeight="false" outlineLevel="0" collapsed="false">
      <c r="A35" s="5" t="s">
        <v>98</v>
      </c>
      <c r="B35" s="4" t="s">
        <v>99</v>
      </c>
      <c r="C35" s="5" t="s">
        <v>619</v>
      </c>
      <c r="D35" s="5" t="s">
        <v>626</v>
      </c>
      <c r="E35" s="4" t="s">
        <v>627</v>
      </c>
      <c r="F35" s="14" t="s">
        <v>616</v>
      </c>
    </row>
    <row r="36" customFormat="false" ht="15" hidden="false" customHeight="false" outlineLevel="0" collapsed="false">
      <c r="A36" s="5" t="s">
        <v>101</v>
      </c>
      <c r="B36" s="4" t="s">
        <v>102</v>
      </c>
      <c r="C36" s="5" t="s">
        <v>622</v>
      </c>
      <c r="D36" s="5" t="s">
        <v>628</v>
      </c>
      <c r="E36" s="4" t="s">
        <v>627</v>
      </c>
      <c r="F36" s="14" t="s">
        <v>616</v>
      </c>
    </row>
    <row r="38" customFormat="false" ht="19.4" hidden="false" customHeight="false" outlineLevel="0" collapsed="false">
      <c r="A38" s="6" t="s">
        <v>629</v>
      </c>
    </row>
    <row r="39" customFormat="false" ht="15" hidden="false" customHeight="false" outlineLevel="0" collapsed="false">
      <c r="A39" s="17" t="s">
        <v>630</v>
      </c>
      <c r="B39" s="8" t="s">
        <v>631</v>
      </c>
      <c r="C39" s="8"/>
      <c r="D39" s="8"/>
      <c r="E39" s="8"/>
      <c r="F39" s="8" t="s">
        <v>49</v>
      </c>
    </row>
    <row r="40" customFormat="false" ht="15" hidden="false" customHeight="true" outlineLevel="0" collapsed="false">
      <c r="A40" s="5" t="s">
        <v>632</v>
      </c>
      <c r="B40" s="4" t="s">
        <v>633</v>
      </c>
      <c r="C40" s="4"/>
      <c r="D40" s="4"/>
      <c r="E40" s="4"/>
      <c r="F40" s="14" t="s">
        <v>74</v>
      </c>
    </row>
    <row r="41" customFormat="false" ht="15" hidden="false" customHeight="true" outlineLevel="0" collapsed="false">
      <c r="A41" s="5" t="s">
        <v>634</v>
      </c>
      <c r="B41" s="4" t="s">
        <v>635</v>
      </c>
      <c r="C41" s="4"/>
      <c r="D41" s="4"/>
      <c r="E41" s="4"/>
      <c r="F41" s="4" t="s">
        <v>636</v>
      </c>
    </row>
    <row r="42" customFormat="false" ht="15" hidden="false" customHeight="true" outlineLevel="0" collapsed="false">
      <c r="A42" s="5" t="s">
        <v>637</v>
      </c>
      <c r="B42" s="5" t="s">
        <v>638</v>
      </c>
      <c r="C42" s="5"/>
      <c r="D42" s="5"/>
      <c r="E42" s="5"/>
      <c r="F42" s="14" t="s">
        <v>74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640</v>
      </c>
      <c r="B45" s="22"/>
      <c r="C45" s="22"/>
      <c r="D45" s="22"/>
      <c r="E45" s="22"/>
      <c r="F45" s="22"/>
    </row>
  </sheetData>
  <mergeCells count="20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C19:F19"/>
    <mergeCell ref="B23:E23"/>
    <mergeCell ref="B24:E24"/>
    <mergeCell ref="B25:E25"/>
    <mergeCell ref="B26:F26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641</v>
      </c>
    </row>
    <row r="2" customFormat="false" ht="15" hidden="false" customHeight="false" outlineLevel="0" collapsed="false">
      <c r="A2" s="2" t="s">
        <v>642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643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644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645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646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647</v>
      </c>
      <c r="C9" s="19"/>
      <c r="D9" s="19"/>
      <c r="E9" s="19"/>
      <c r="F9" s="19"/>
    </row>
    <row r="10" customFormat="false" ht="15" hidden="false" customHeight="false" outlineLevel="0" collapsed="false">
      <c r="A10" s="18" t="s">
        <v>596</v>
      </c>
      <c r="B10" s="19" t="s">
        <v>648</v>
      </c>
      <c r="C10" s="19"/>
      <c r="D10" s="19"/>
      <c r="E10" s="19"/>
      <c r="F10" s="19"/>
    </row>
    <row r="12" customFormat="false" ht="19.4" hidden="false" customHeight="false" outlineLevel="0" collapsed="false">
      <c r="A12" s="6" t="s">
        <v>602</v>
      </c>
    </row>
    <row r="13" customFormat="false" ht="15" hidden="false" customHeight="false" outlineLevel="0" collapsed="false">
      <c r="A13" s="8" t="s">
        <v>45</v>
      </c>
      <c r="B13" s="8" t="s">
        <v>47</v>
      </c>
      <c r="C13" s="8" t="s">
        <v>48</v>
      </c>
      <c r="D13" s="8"/>
      <c r="E13" s="8"/>
      <c r="F13" s="8"/>
    </row>
    <row r="14" customFormat="false" ht="15" hidden="false" customHeight="true" outlineLevel="0" collapsed="false">
      <c r="A14" s="5" t="s">
        <v>104</v>
      </c>
      <c r="B14" s="4" t="s">
        <v>81</v>
      </c>
      <c r="C14" s="4" t="s">
        <v>106</v>
      </c>
      <c r="D14" s="4"/>
      <c r="E14" s="4"/>
      <c r="F14" s="4"/>
    </row>
    <row r="15" customFormat="false" ht="15" hidden="false" customHeight="true" outlineLevel="0" collapsed="false">
      <c r="A15" s="5" t="s">
        <v>107</v>
      </c>
      <c r="B15" s="4" t="s">
        <v>81</v>
      </c>
      <c r="C15" s="4" t="s">
        <v>108</v>
      </c>
      <c r="D15" s="4"/>
      <c r="E15" s="4"/>
      <c r="F15" s="4"/>
    </row>
    <row r="16" customFormat="false" ht="15" hidden="false" customHeight="true" outlineLevel="0" collapsed="false">
      <c r="A16" s="5" t="s">
        <v>109</v>
      </c>
      <c r="B16" s="4" t="s">
        <v>81</v>
      </c>
      <c r="C16" s="4" t="s">
        <v>110</v>
      </c>
      <c r="D16" s="4"/>
      <c r="E16" s="4"/>
      <c r="F16" s="4"/>
    </row>
    <row r="17" customFormat="false" ht="15" hidden="false" customHeight="true" outlineLevel="0" collapsed="false">
      <c r="A17" s="5" t="s">
        <v>111</v>
      </c>
      <c r="B17" s="4" t="s">
        <v>604</v>
      </c>
      <c r="C17" s="5" t="s">
        <v>112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113</v>
      </c>
      <c r="B21" s="4" t="s">
        <v>114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116</v>
      </c>
      <c r="B22" s="4" t="s">
        <v>117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118</v>
      </c>
      <c r="B23" s="4" t="s">
        <v>119</v>
      </c>
      <c r="C23" s="4"/>
      <c r="D23" s="4"/>
      <c r="E23" s="4"/>
      <c r="F23" s="4" t="s">
        <v>607</v>
      </c>
    </row>
    <row r="24" customFormat="false" ht="15" hidden="false" customHeight="false" outlineLevel="0" collapsed="false">
      <c r="A24" s="9" t="s">
        <v>608</v>
      </c>
      <c r="B24" s="20" t="s">
        <v>115</v>
      </c>
      <c r="C24" s="20"/>
      <c r="D24" s="20"/>
      <c r="E24" s="20"/>
      <c r="F24" s="20"/>
    </row>
    <row r="26" customFormat="false" ht="19.4" hidden="false" customHeight="false" outlineLevel="0" collapsed="false">
      <c r="A26" s="6" t="s">
        <v>609</v>
      </c>
    </row>
    <row r="27" customFormat="false" ht="15" hidden="false" customHeight="false" outlineLevel="0" collapsed="false">
      <c r="A27" s="8" t="s">
        <v>45</v>
      </c>
      <c r="B27" s="8" t="s">
        <v>81</v>
      </c>
      <c r="C27" s="17" t="s">
        <v>610</v>
      </c>
      <c r="D27" s="17" t="s">
        <v>611</v>
      </c>
      <c r="E27" s="8" t="s">
        <v>612</v>
      </c>
      <c r="F27" s="8" t="s">
        <v>49</v>
      </c>
    </row>
    <row r="28" customFormat="false" ht="15" hidden="false" customHeight="false" outlineLevel="0" collapsed="false">
      <c r="A28" s="5" t="s">
        <v>120</v>
      </c>
      <c r="B28" s="4" t="s">
        <v>121</v>
      </c>
      <c r="C28" s="5" t="s">
        <v>619</v>
      </c>
      <c r="D28" s="5" t="s">
        <v>649</v>
      </c>
      <c r="E28" s="4" t="s">
        <v>650</v>
      </c>
      <c r="F28" s="14" t="s">
        <v>616</v>
      </c>
    </row>
    <row r="29" customFormat="false" ht="15" hidden="false" customHeight="false" outlineLevel="0" collapsed="false">
      <c r="A29" s="5" t="s">
        <v>123</v>
      </c>
      <c r="B29" s="4" t="s">
        <v>124</v>
      </c>
      <c r="C29" s="5" t="s">
        <v>613</v>
      </c>
      <c r="D29" s="5" t="s">
        <v>649</v>
      </c>
      <c r="E29" s="4" t="s">
        <v>627</v>
      </c>
      <c r="F29" s="21" t="s">
        <v>624</v>
      </c>
    </row>
    <row r="30" customFormat="false" ht="15" hidden="false" customHeight="false" outlineLevel="0" collapsed="false">
      <c r="A30" s="5" t="s">
        <v>126</v>
      </c>
      <c r="B30" s="4" t="s">
        <v>127</v>
      </c>
      <c r="C30" s="5" t="s">
        <v>619</v>
      </c>
      <c r="D30" s="5" t="s">
        <v>651</v>
      </c>
      <c r="E30" s="4" t="s">
        <v>652</v>
      </c>
      <c r="F30" s="14" t="s">
        <v>616</v>
      </c>
    </row>
    <row r="31" customFormat="false" ht="15" hidden="false" customHeight="false" outlineLevel="0" collapsed="false">
      <c r="A31" s="5" t="s">
        <v>129</v>
      </c>
      <c r="B31" s="4" t="s">
        <v>130</v>
      </c>
      <c r="C31" s="5" t="s">
        <v>622</v>
      </c>
      <c r="D31" s="5" t="s">
        <v>651</v>
      </c>
      <c r="E31" s="4" t="s">
        <v>653</v>
      </c>
      <c r="F31" s="21" t="s">
        <v>624</v>
      </c>
    </row>
    <row r="32" customFormat="false" ht="15" hidden="false" customHeight="false" outlineLevel="0" collapsed="false">
      <c r="A32" s="5" t="s">
        <v>132</v>
      </c>
      <c r="B32" s="4" t="s">
        <v>133</v>
      </c>
      <c r="C32" s="5" t="s">
        <v>619</v>
      </c>
      <c r="D32" s="5" t="s">
        <v>654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135</v>
      </c>
      <c r="B33" s="4" t="s">
        <v>136</v>
      </c>
      <c r="C33" s="5" t="s">
        <v>613</v>
      </c>
      <c r="D33" s="5" t="s">
        <v>654</v>
      </c>
      <c r="E33" s="4" t="s">
        <v>627</v>
      </c>
      <c r="F33" s="21" t="s">
        <v>624</v>
      </c>
    </row>
    <row r="34" customFormat="false" ht="15" hidden="false" customHeight="false" outlineLevel="0" collapsed="false">
      <c r="A34" s="5" t="s">
        <v>138</v>
      </c>
      <c r="B34" s="4" t="s">
        <v>139</v>
      </c>
      <c r="C34" s="5" t="s">
        <v>622</v>
      </c>
      <c r="D34" s="5" t="s">
        <v>655</v>
      </c>
      <c r="E34" s="4" t="s">
        <v>653</v>
      </c>
      <c r="F34" s="21" t="s">
        <v>624</v>
      </c>
    </row>
    <row r="35" customFormat="false" ht="15" hidden="false" customHeight="false" outlineLevel="0" collapsed="false">
      <c r="A35" s="5" t="s">
        <v>141</v>
      </c>
      <c r="B35" s="4" t="s">
        <v>142</v>
      </c>
      <c r="C35" s="5" t="s">
        <v>619</v>
      </c>
      <c r="D35" s="5" t="s">
        <v>656</v>
      </c>
      <c r="E35" s="4" t="s">
        <v>621</v>
      </c>
      <c r="F35" s="14" t="s">
        <v>616</v>
      </c>
    </row>
    <row r="37" customFormat="false" ht="19.4" hidden="false" customHeight="false" outlineLevel="0" collapsed="false">
      <c r="A37" s="6" t="s">
        <v>629</v>
      </c>
    </row>
    <row r="38" customFormat="false" ht="15" hidden="false" customHeight="false" outlineLevel="0" collapsed="false">
      <c r="A38" s="17" t="s">
        <v>630</v>
      </c>
      <c r="B38" s="8" t="s">
        <v>631</v>
      </c>
      <c r="C38" s="8"/>
      <c r="D38" s="8"/>
      <c r="E38" s="8"/>
      <c r="F38" s="8" t="s">
        <v>49</v>
      </c>
    </row>
    <row r="39" customFormat="false" ht="15" hidden="false" customHeight="true" outlineLevel="0" collapsed="false">
      <c r="A39" s="5" t="s">
        <v>657</v>
      </c>
      <c r="B39" s="4" t="s">
        <v>658</v>
      </c>
      <c r="C39" s="4"/>
      <c r="D39" s="4"/>
      <c r="E39" s="4"/>
      <c r="F39" s="14" t="s">
        <v>659</v>
      </c>
    </row>
    <row r="40" customFormat="false" ht="15" hidden="false" customHeight="true" outlineLevel="0" collapsed="false">
      <c r="A40" s="5" t="s">
        <v>660</v>
      </c>
      <c r="B40" s="5" t="s">
        <v>661</v>
      </c>
      <c r="C40" s="5"/>
      <c r="D40" s="5"/>
      <c r="E40" s="5"/>
      <c r="F40" s="14" t="s">
        <v>662</v>
      </c>
    </row>
    <row r="41" customFormat="false" ht="15" hidden="false" customHeight="true" outlineLevel="0" collapsed="false">
      <c r="A41" s="5" t="s">
        <v>663</v>
      </c>
      <c r="B41" s="4" t="s">
        <v>664</v>
      </c>
      <c r="C41" s="4"/>
      <c r="D41" s="4"/>
      <c r="E41" s="4"/>
      <c r="F41" s="14" t="s">
        <v>665</v>
      </c>
    </row>
    <row r="42" customFormat="false" ht="15" hidden="false" customHeight="true" outlineLevel="0" collapsed="false">
      <c r="A42" s="5" t="s">
        <v>666</v>
      </c>
      <c r="B42" s="4" t="s">
        <v>667</v>
      </c>
      <c r="C42" s="4"/>
      <c r="D42" s="4"/>
      <c r="E42" s="4"/>
      <c r="F42" s="14" t="s">
        <v>668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669</v>
      </c>
      <c r="B45" s="22"/>
      <c r="C45" s="22"/>
      <c r="D45" s="22"/>
      <c r="E45" s="22"/>
      <c r="F45" s="22"/>
    </row>
  </sheetData>
  <mergeCells count="19">
    <mergeCell ref="B5:F5"/>
    <mergeCell ref="B6:F6"/>
    <mergeCell ref="B7:F7"/>
    <mergeCell ref="B8:F8"/>
    <mergeCell ref="B9:F9"/>
    <mergeCell ref="B10:F10"/>
    <mergeCell ref="C14:F14"/>
    <mergeCell ref="C15:F15"/>
    <mergeCell ref="C16:F16"/>
    <mergeCell ref="C17:F17"/>
    <mergeCell ref="B21:E21"/>
    <mergeCell ref="B22:E22"/>
    <mergeCell ref="B23:E23"/>
    <mergeCell ref="B24:F24"/>
    <mergeCell ref="B39:E39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670</v>
      </c>
    </row>
    <row r="2" customFormat="false" ht="15" hidden="false" customHeight="false" outlineLevel="0" collapsed="false">
      <c r="A2" s="2" t="s">
        <v>671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672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673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674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675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144</v>
      </c>
      <c r="B12" s="4" t="s">
        <v>81</v>
      </c>
      <c r="C12" s="4" t="s">
        <v>146</v>
      </c>
      <c r="D12" s="4"/>
      <c r="E12" s="4"/>
      <c r="F12" s="4"/>
    </row>
    <row r="13" customFormat="false" ht="15" hidden="false" customHeight="true" outlineLevel="0" collapsed="false">
      <c r="A13" s="5" t="s">
        <v>147</v>
      </c>
      <c r="B13" s="4" t="s">
        <v>81</v>
      </c>
      <c r="C13" s="4" t="s">
        <v>148</v>
      </c>
      <c r="D13" s="4"/>
      <c r="E13" s="4"/>
      <c r="F13" s="4"/>
    </row>
    <row r="14" customFormat="false" ht="15" hidden="false" customHeight="true" outlineLevel="0" collapsed="false">
      <c r="A14" s="5" t="s">
        <v>149</v>
      </c>
      <c r="B14" s="4" t="s">
        <v>81</v>
      </c>
      <c r="C14" s="4" t="s">
        <v>150</v>
      </c>
      <c r="D14" s="4"/>
      <c r="E14" s="4"/>
      <c r="F14" s="4"/>
    </row>
    <row r="15" customFormat="false" ht="15" hidden="false" customHeight="true" outlineLevel="0" collapsed="false">
      <c r="A15" s="5" t="s">
        <v>151</v>
      </c>
      <c r="B15" s="4" t="s">
        <v>604</v>
      </c>
      <c r="C15" s="5" t="s">
        <v>152</v>
      </c>
      <c r="D15" s="5"/>
      <c r="E15" s="5"/>
      <c r="F15" s="5"/>
    </row>
    <row r="17" customFormat="false" ht="19.4" hidden="false" customHeight="false" outlineLevel="0" collapsed="false">
      <c r="A17" s="6" t="s">
        <v>605</v>
      </c>
    </row>
    <row r="18" customFormat="false" ht="15" hidden="false" customHeight="false" outlineLevel="0" collapsed="false">
      <c r="A18" s="8" t="s">
        <v>45</v>
      </c>
      <c r="B18" s="8" t="s">
        <v>606</v>
      </c>
      <c r="C18" s="8"/>
      <c r="D18" s="8"/>
      <c r="E18" s="8"/>
      <c r="F18" s="8" t="s">
        <v>34</v>
      </c>
    </row>
    <row r="19" customFormat="false" ht="15" hidden="false" customHeight="true" outlineLevel="0" collapsed="false">
      <c r="A19" s="5" t="s">
        <v>153</v>
      </c>
      <c r="B19" s="4" t="s">
        <v>154</v>
      </c>
      <c r="C19" s="4"/>
      <c r="D19" s="4"/>
      <c r="E19" s="4"/>
      <c r="F19" s="4" t="s">
        <v>607</v>
      </c>
    </row>
    <row r="20" customFormat="false" ht="29.85" hidden="false" customHeight="true" outlineLevel="0" collapsed="false">
      <c r="A20" s="5" t="s">
        <v>156</v>
      </c>
      <c r="B20" s="4" t="s">
        <v>157</v>
      </c>
      <c r="C20" s="4"/>
      <c r="D20" s="4"/>
      <c r="E20" s="4"/>
      <c r="F20" s="4" t="s">
        <v>607</v>
      </c>
    </row>
    <row r="21" customFormat="false" ht="15" hidden="false" customHeight="true" outlineLevel="0" collapsed="false">
      <c r="A21" s="5" t="s">
        <v>158</v>
      </c>
      <c r="B21" s="5" t="s">
        <v>159</v>
      </c>
      <c r="C21" s="5"/>
      <c r="D21" s="5"/>
      <c r="E21" s="5"/>
      <c r="F21" s="4" t="s">
        <v>607</v>
      </c>
    </row>
    <row r="22" customFormat="false" ht="15" hidden="false" customHeight="false" outlineLevel="0" collapsed="false">
      <c r="A22" s="9" t="s">
        <v>608</v>
      </c>
      <c r="B22" s="20" t="s">
        <v>155</v>
      </c>
      <c r="C22" s="20"/>
      <c r="D22" s="20"/>
      <c r="E22" s="20"/>
      <c r="F22" s="20"/>
    </row>
    <row r="24" customFormat="false" ht="19.4" hidden="false" customHeight="false" outlineLevel="0" collapsed="false">
      <c r="A24" s="6" t="s">
        <v>609</v>
      </c>
    </row>
    <row r="25" customFormat="false" ht="15" hidden="false" customHeight="false" outlineLevel="0" collapsed="false">
      <c r="A25" s="8" t="s">
        <v>45</v>
      </c>
      <c r="B25" s="8" t="s">
        <v>81</v>
      </c>
      <c r="C25" s="17" t="s">
        <v>610</v>
      </c>
      <c r="D25" s="17" t="s">
        <v>611</v>
      </c>
      <c r="E25" s="8" t="s">
        <v>612</v>
      </c>
      <c r="F25" s="8" t="s">
        <v>49</v>
      </c>
    </row>
    <row r="26" customFormat="false" ht="15" hidden="false" customHeight="false" outlineLevel="0" collapsed="false">
      <c r="A26" s="5" t="s">
        <v>160</v>
      </c>
      <c r="B26" s="4" t="s">
        <v>161</v>
      </c>
      <c r="C26" s="5" t="s">
        <v>619</v>
      </c>
      <c r="D26" s="5" t="s">
        <v>676</v>
      </c>
      <c r="E26" s="4" t="s">
        <v>652</v>
      </c>
      <c r="F26" s="14" t="s">
        <v>616</v>
      </c>
    </row>
    <row r="27" customFormat="false" ht="15" hidden="false" customHeight="false" outlineLevel="0" collapsed="false">
      <c r="A27" s="5" t="s">
        <v>163</v>
      </c>
      <c r="B27" s="4" t="s">
        <v>164</v>
      </c>
      <c r="C27" s="5" t="s">
        <v>613</v>
      </c>
      <c r="D27" s="5" t="s">
        <v>677</v>
      </c>
      <c r="E27" s="4" t="s">
        <v>653</v>
      </c>
      <c r="F27" s="21" t="s">
        <v>624</v>
      </c>
    </row>
    <row r="28" customFormat="false" ht="15" hidden="false" customHeight="false" outlineLevel="0" collapsed="false">
      <c r="A28" s="5" t="s">
        <v>166</v>
      </c>
      <c r="B28" s="4" t="s">
        <v>167</v>
      </c>
      <c r="C28" s="5" t="s">
        <v>619</v>
      </c>
      <c r="D28" s="5" t="s">
        <v>678</v>
      </c>
      <c r="E28" s="4" t="s">
        <v>650</v>
      </c>
      <c r="F28" s="21" t="s">
        <v>624</v>
      </c>
    </row>
    <row r="29" customFormat="false" ht="15" hidden="false" customHeight="false" outlineLevel="0" collapsed="false">
      <c r="A29" s="5" t="s">
        <v>169</v>
      </c>
      <c r="B29" s="4" t="s">
        <v>170</v>
      </c>
      <c r="C29" s="5" t="s">
        <v>613</v>
      </c>
      <c r="D29" s="5" t="s">
        <v>679</v>
      </c>
      <c r="E29" s="4" t="s">
        <v>680</v>
      </c>
      <c r="F29" s="14" t="s">
        <v>616</v>
      </c>
    </row>
    <row r="30" customFormat="false" ht="15" hidden="false" customHeight="false" outlineLevel="0" collapsed="false">
      <c r="A30" s="5" t="s">
        <v>172</v>
      </c>
      <c r="B30" s="4" t="s">
        <v>173</v>
      </c>
      <c r="C30" s="5" t="s">
        <v>613</v>
      </c>
      <c r="D30" s="5" t="s">
        <v>681</v>
      </c>
      <c r="E30" s="4" t="s">
        <v>680</v>
      </c>
      <c r="F30" s="14" t="s">
        <v>616</v>
      </c>
    </row>
    <row r="31" customFormat="false" ht="15" hidden="false" customHeight="false" outlineLevel="0" collapsed="false">
      <c r="A31" s="5" t="s">
        <v>175</v>
      </c>
      <c r="B31" s="4" t="s">
        <v>176</v>
      </c>
      <c r="C31" s="5" t="s">
        <v>619</v>
      </c>
      <c r="D31" s="5" t="s">
        <v>682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178</v>
      </c>
      <c r="B32" s="4" t="s">
        <v>179</v>
      </c>
      <c r="C32" s="5" t="s">
        <v>619</v>
      </c>
      <c r="D32" s="5" t="s">
        <v>683</v>
      </c>
      <c r="E32" s="4" t="s">
        <v>652</v>
      </c>
      <c r="F32" s="14" t="s">
        <v>616</v>
      </c>
    </row>
    <row r="33" customFormat="false" ht="15" hidden="false" customHeight="false" outlineLevel="0" collapsed="false">
      <c r="A33" s="5" t="s">
        <v>181</v>
      </c>
      <c r="B33" s="4" t="s">
        <v>182</v>
      </c>
      <c r="C33" s="5" t="s">
        <v>613</v>
      </c>
      <c r="D33" s="5" t="s">
        <v>683</v>
      </c>
      <c r="E33" s="4" t="s">
        <v>680</v>
      </c>
      <c r="F33" s="14" t="s">
        <v>616</v>
      </c>
    </row>
    <row r="34" customFormat="false" ht="15" hidden="false" customHeight="false" outlineLevel="0" collapsed="false">
      <c r="A34" s="5" t="s">
        <v>184</v>
      </c>
      <c r="B34" s="4" t="s">
        <v>185</v>
      </c>
      <c r="C34" s="5" t="s">
        <v>622</v>
      </c>
      <c r="D34" s="5" t="s">
        <v>684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187</v>
      </c>
      <c r="B35" s="4" t="s">
        <v>188</v>
      </c>
      <c r="C35" s="5" t="s">
        <v>622</v>
      </c>
      <c r="D35" s="5" t="s">
        <v>685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190</v>
      </c>
      <c r="B36" s="4" t="s">
        <v>191</v>
      </c>
      <c r="C36" s="5" t="s">
        <v>619</v>
      </c>
      <c r="D36" s="5" t="s">
        <v>686</v>
      </c>
      <c r="E36" s="4" t="s">
        <v>652</v>
      </c>
      <c r="F36" s="14" t="s">
        <v>616</v>
      </c>
    </row>
    <row r="37" customFormat="false" ht="15" hidden="false" customHeight="false" outlineLevel="0" collapsed="false">
      <c r="A37" s="5" t="s">
        <v>193</v>
      </c>
      <c r="B37" s="4" t="s">
        <v>194</v>
      </c>
      <c r="C37" s="5" t="s">
        <v>619</v>
      </c>
      <c r="D37" s="5" t="s">
        <v>687</v>
      </c>
      <c r="E37" s="4" t="s">
        <v>652</v>
      </c>
      <c r="F37" s="14" t="s">
        <v>616</v>
      </c>
    </row>
    <row r="38" customFormat="false" ht="15" hidden="false" customHeight="false" outlineLevel="0" collapsed="false">
      <c r="A38" s="5" t="s">
        <v>196</v>
      </c>
      <c r="B38" s="4" t="s">
        <v>197</v>
      </c>
      <c r="C38" s="5" t="s">
        <v>613</v>
      </c>
      <c r="D38" s="5" t="s">
        <v>687</v>
      </c>
      <c r="E38" s="4" t="s">
        <v>680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688</v>
      </c>
      <c r="B42" s="4" t="s">
        <v>689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690</v>
      </c>
      <c r="B43" s="4" t="s">
        <v>691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692</v>
      </c>
      <c r="B44" s="4" t="s">
        <v>693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694</v>
      </c>
      <c r="B47" s="22"/>
      <c r="C47" s="22"/>
      <c r="D47" s="22"/>
      <c r="E47" s="22"/>
      <c r="F47" s="22"/>
    </row>
  </sheetData>
  <mergeCells count="16">
    <mergeCell ref="B5:F5"/>
    <mergeCell ref="B6:F6"/>
    <mergeCell ref="B7:F7"/>
    <mergeCell ref="B8:F8"/>
    <mergeCell ref="C12:F12"/>
    <mergeCell ref="C13:F13"/>
    <mergeCell ref="C14:F14"/>
    <mergeCell ref="C15:F15"/>
    <mergeCell ref="B19:E19"/>
    <mergeCell ref="B20:E20"/>
    <mergeCell ref="B21:E21"/>
    <mergeCell ref="B22:F22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696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699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199</v>
      </c>
      <c r="B11" s="4" t="s">
        <v>81</v>
      </c>
      <c r="C11" s="4" t="s">
        <v>201</v>
      </c>
      <c r="D11" s="4"/>
      <c r="E11" s="4"/>
      <c r="F11" s="4"/>
    </row>
    <row r="12" customFormat="false" ht="15" hidden="false" customHeight="true" outlineLevel="0" collapsed="false">
      <c r="A12" s="5" t="s">
        <v>202</v>
      </c>
      <c r="B12" s="4" t="s">
        <v>81</v>
      </c>
      <c r="C12" s="4" t="s">
        <v>203</v>
      </c>
      <c r="D12" s="4"/>
      <c r="E12" s="4"/>
      <c r="F12" s="4"/>
    </row>
    <row r="13" customFormat="false" ht="15" hidden="false" customHeight="true" outlineLevel="0" collapsed="false">
      <c r="A13" s="5" t="s">
        <v>204</v>
      </c>
      <c r="B13" s="4" t="s">
        <v>81</v>
      </c>
      <c r="C13" s="4" t="s">
        <v>205</v>
      </c>
      <c r="D13" s="4"/>
      <c r="E13" s="4"/>
      <c r="F13" s="4"/>
    </row>
    <row r="14" customFormat="false" ht="15" hidden="false" customHeight="true" outlineLevel="0" collapsed="false">
      <c r="A14" s="5" t="s">
        <v>206</v>
      </c>
      <c r="B14" s="4" t="s">
        <v>604</v>
      </c>
      <c r="C14" s="4" t="s">
        <v>207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208</v>
      </c>
      <c r="B18" s="5" t="s">
        <v>209</v>
      </c>
      <c r="C18" s="5"/>
      <c r="D18" s="5"/>
      <c r="E18" s="5"/>
      <c r="F18" s="4" t="s">
        <v>607</v>
      </c>
    </row>
    <row r="19" customFormat="false" ht="29.85" hidden="false" customHeight="true" outlineLevel="0" collapsed="false">
      <c r="A19" s="5" t="s">
        <v>211</v>
      </c>
      <c r="B19" s="4" t="s">
        <v>212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210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213</v>
      </c>
      <c r="B24" s="4" t="s">
        <v>214</v>
      </c>
      <c r="C24" s="5" t="s">
        <v>619</v>
      </c>
      <c r="D24" s="5" t="s">
        <v>700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216</v>
      </c>
      <c r="B25" s="4" t="s">
        <v>217</v>
      </c>
      <c r="C25" s="5" t="s">
        <v>613</v>
      </c>
      <c r="D25" s="5" t="s">
        <v>700</v>
      </c>
      <c r="E25" s="4" t="s">
        <v>621</v>
      </c>
      <c r="F25" s="14" t="s">
        <v>616</v>
      </c>
    </row>
    <row r="26" customFormat="false" ht="15" hidden="false" customHeight="false" outlineLevel="0" collapsed="false">
      <c r="A26" s="5" t="s">
        <v>219</v>
      </c>
      <c r="B26" s="4" t="s">
        <v>220</v>
      </c>
      <c r="C26" s="5" t="s">
        <v>701</v>
      </c>
      <c r="D26" s="5" t="s">
        <v>702</v>
      </c>
      <c r="E26" s="4" t="s">
        <v>621</v>
      </c>
      <c r="F26" s="14" t="s">
        <v>616</v>
      </c>
    </row>
    <row r="27" customFormat="false" ht="15" hidden="false" customHeight="false" outlineLevel="0" collapsed="false">
      <c r="A27" s="5" t="s">
        <v>222</v>
      </c>
      <c r="B27" s="4" t="s">
        <v>223</v>
      </c>
      <c r="C27" s="5" t="s">
        <v>619</v>
      </c>
      <c r="D27" s="5" t="s">
        <v>702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225</v>
      </c>
      <c r="B28" s="4" t="s">
        <v>226</v>
      </c>
      <c r="C28" s="5" t="s">
        <v>622</v>
      </c>
      <c r="D28" s="5" t="s">
        <v>702</v>
      </c>
      <c r="E28" s="4" t="s">
        <v>621</v>
      </c>
      <c r="F28" s="14" t="s">
        <v>616</v>
      </c>
    </row>
    <row r="30" customFormat="false" ht="19.4" hidden="false" customHeight="false" outlineLevel="0" collapsed="false">
      <c r="A30" s="6" t="s">
        <v>629</v>
      </c>
    </row>
    <row r="31" customFormat="false" ht="15" hidden="false" customHeight="false" outlineLevel="0" collapsed="false">
      <c r="A31" s="17" t="s">
        <v>630</v>
      </c>
      <c r="B31" s="8" t="s">
        <v>631</v>
      </c>
      <c r="C31" s="8"/>
      <c r="D31" s="8"/>
      <c r="E31" s="8"/>
      <c r="F31" s="8" t="s">
        <v>49</v>
      </c>
    </row>
    <row r="32" customFormat="false" ht="15" hidden="false" customHeight="true" outlineLevel="0" collapsed="false">
      <c r="A32" s="5" t="s">
        <v>703</v>
      </c>
      <c r="B32" s="4" t="s">
        <v>704</v>
      </c>
      <c r="C32" s="4"/>
      <c r="D32" s="4"/>
      <c r="E32" s="4"/>
      <c r="F32" s="14" t="s">
        <v>74</v>
      </c>
    </row>
    <row r="33" customFormat="false" ht="15" hidden="false" customHeight="true" outlineLevel="0" collapsed="false">
      <c r="A33" s="5" t="s">
        <v>705</v>
      </c>
      <c r="B33" s="4" t="s">
        <v>706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2" t="s">
        <v>707</v>
      </c>
      <c r="B36" s="22"/>
      <c r="C36" s="22"/>
      <c r="D36" s="22"/>
      <c r="E36" s="22"/>
      <c r="F36" s="22"/>
    </row>
  </sheetData>
  <mergeCells count="13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708</v>
      </c>
    </row>
    <row r="2" customFormat="false" ht="15" hidden="false" customHeight="false" outlineLevel="0" collapsed="false">
      <c r="A2" s="2" t="s">
        <v>709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710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711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712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713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228</v>
      </c>
      <c r="B12" s="4" t="s">
        <v>81</v>
      </c>
      <c r="C12" s="4" t="s">
        <v>230</v>
      </c>
      <c r="D12" s="4"/>
      <c r="E12" s="4"/>
      <c r="F12" s="4"/>
    </row>
    <row r="13" customFormat="false" ht="15" hidden="false" customHeight="true" outlineLevel="0" collapsed="false">
      <c r="A13" s="5" t="s">
        <v>231</v>
      </c>
      <c r="B13" s="4" t="s">
        <v>81</v>
      </c>
      <c r="C13" s="4" t="s">
        <v>232</v>
      </c>
      <c r="D13" s="4"/>
      <c r="E13" s="4"/>
      <c r="F13" s="4"/>
    </row>
    <row r="14" customFormat="false" ht="15" hidden="false" customHeight="true" outlineLevel="0" collapsed="false">
      <c r="A14" s="5" t="s">
        <v>233</v>
      </c>
      <c r="B14" s="4" t="s">
        <v>603</v>
      </c>
      <c r="C14" s="4" t="s">
        <v>234</v>
      </c>
      <c r="D14" s="4"/>
      <c r="E14" s="4"/>
      <c r="F14" s="4"/>
    </row>
    <row r="15" customFormat="false" ht="15" hidden="false" customHeight="true" outlineLevel="0" collapsed="false">
      <c r="A15" s="5" t="s">
        <v>63</v>
      </c>
      <c r="B15" s="4" t="s">
        <v>603</v>
      </c>
      <c r="C15" s="4" t="s">
        <v>65</v>
      </c>
      <c r="D15" s="4"/>
      <c r="E15" s="4"/>
      <c r="F15" s="4"/>
    </row>
    <row r="16" customFormat="false" ht="15" hidden="false" customHeight="true" outlineLevel="0" collapsed="false">
      <c r="A16" s="5" t="s">
        <v>235</v>
      </c>
      <c r="B16" s="4" t="s">
        <v>604</v>
      </c>
      <c r="C16" s="5" t="s">
        <v>236</v>
      </c>
      <c r="D16" s="5"/>
      <c r="E16" s="5"/>
      <c r="F16" s="5"/>
    </row>
    <row r="18" customFormat="false" ht="19.4" hidden="false" customHeight="false" outlineLevel="0" collapsed="false">
      <c r="A18" s="6" t="s">
        <v>605</v>
      </c>
    </row>
    <row r="19" customFormat="false" ht="15" hidden="false" customHeight="false" outlineLevel="0" collapsed="false">
      <c r="A19" s="8" t="s">
        <v>45</v>
      </c>
      <c r="B19" s="8" t="s">
        <v>606</v>
      </c>
      <c r="C19" s="8"/>
      <c r="D19" s="8"/>
      <c r="E19" s="8"/>
      <c r="F19" s="8" t="s">
        <v>34</v>
      </c>
    </row>
    <row r="20" customFormat="false" ht="15" hidden="false" customHeight="true" outlineLevel="0" collapsed="false">
      <c r="A20" s="5" t="s">
        <v>237</v>
      </c>
      <c r="B20" s="5" t="s">
        <v>238</v>
      </c>
      <c r="C20" s="5"/>
      <c r="D20" s="5"/>
      <c r="E20" s="5"/>
      <c r="F20" s="4" t="s">
        <v>607</v>
      </c>
    </row>
    <row r="21" customFormat="false" ht="15" hidden="false" customHeight="true" outlineLevel="0" collapsed="false">
      <c r="A21" s="5" t="s">
        <v>240</v>
      </c>
      <c r="B21" s="4" t="s">
        <v>241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242</v>
      </c>
      <c r="B22" s="4" t="s">
        <v>243</v>
      </c>
      <c r="C22" s="4"/>
      <c r="D22" s="4"/>
      <c r="E22" s="4"/>
      <c r="F22" s="4" t="s">
        <v>607</v>
      </c>
    </row>
    <row r="23" customFormat="false" ht="15" hidden="false" customHeight="false" outlineLevel="0" collapsed="false">
      <c r="A23" s="9" t="s">
        <v>608</v>
      </c>
      <c r="B23" s="20" t="s">
        <v>239</v>
      </c>
      <c r="C23" s="20"/>
      <c r="D23" s="20"/>
      <c r="E23" s="20"/>
      <c r="F23" s="20"/>
    </row>
    <row r="25" customFormat="false" ht="19.4" hidden="false" customHeight="false" outlineLevel="0" collapsed="false">
      <c r="A25" s="6" t="s">
        <v>609</v>
      </c>
    </row>
    <row r="26" customFormat="false" ht="15" hidden="false" customHeight="false" outlineLevel="0" collapsed="false">
      <c r="A26" s="8" t="s">
        <v>45</v>
      </c>
      <c r="B26" s="8" t="s">
        <v>81</v>
      </c>
      <c r="C26" s="17" t="s">
        <v>610</v>
      </c>
      <c r="D26" s="17" t="s">
        <v>611</v>
      </c>
      <c r="E26" s="8" t="s">
        <v>612</v>
      </c>
      <c r="F26" s="8" t="s">
        <v>49</v>
      </c>
    </row>
    <row r="27" customFormat="false" ht="15" hidden="false" customHeight="false" outlineLevel="0" collapsed="false">
      <c r="A27" s="5" t="s">
        <v>244</v>
      </c>
      <c r="B27" s="4" t="s">
        <v>245</v>
      </c>
      <c r="C27" s="5" t="s">
        <v>619</v>
      </c>
      <c r="D27" s="5" t="s">
        <v>714</v>
      </c>
      <c r="E27" s="4" t="s">
        <v>650</v>
      </c>
      <c r="F27" s="14" t="s">
        <v>616</v>
      </c>
    </row>
    <row r="28" customFormat="false" ht="15" hidden="false" customHeight="false" outlineLevel="0" collapsed="false">
      <c r="A28" s="5" t="s">
        <v>247</v>
      </c>
      <c r="B28" s="4" t="s">
        <v>248</v>
      </c>
      <c r="C28" s="5" t="s">
        <v>613</v>
      </c>
      <c r="D28" s="5" t="s">
        <v>714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250</v>
      </c>
      <c r="B29" s="4" t="s">
        <v>251</v>
      </c>
      <c r="C29" s="5" t="s">
        <v>619</v>
      </c>
      <c r="D29" s="5" t="s">
        <v>715</v>
      </c>
      <c r="E29" s="4" t="s">
        <v>716</v>
      </c>
      <c r="F29" s="14" t="s">
        <v>616</v>
      </c>
    </row>
    <row r="30" customFormat="false" ht="15" hidden="false" customHeight="false" outlineLevel="0" collapsed="false">
      <c r="A30" s="5" t="s">
        <v>253</v>
      </c>
      <c r="B30" s="4" t="s">
        <v>254</v>
      </c>
      <c r="C30" s="5" t="s">
        <v>622</v>
      </c>
      <c r="D30" s="5" t="s">
        <v>715</v>
      </c>
      <c r="E30" s="4" t="s">
        <v>716</v>
      </c>
      <c r="F30" s="14" t="s">
        <v>616</v>
      </c>
    </row>
    <row r="31" customFormat="false" ht="15" hidden="false" customHeight="false" outlineLevel="0" collapsed="false">
      <c r="A31" s="5" t="s">
        <v>256</v>
      </c>
      <c r="B31" s="4" t="s">
        <v>257</v>
      </c>
      <c r="C31" s="5" t="s">
        <v>619</v>
      </c>
      <c r="D31" s="5" t="s">
        <v>717</v>
      </c>
      <c r="E31" s="4" t="s">
        <v>716</v>
      </c>
      <c r="F31" s="14" t="s">
        <v>616</v>
      </c>
    </row>
    <row r="32" customFormat="false" ht="15" hidden="false" customHeight="false" outlineLevel="0" collapsed="false">
      <c r="A32" s="5" t="s">
        <v>259</v>
      </c>
      <c r="B32" s="4" t="s">
        <v>260</v>
      </c>
      <c r="C32" s="5" t="s">
        <v>613</v>
      </c>
      <c r="D32" s="5" t="s">
        <v>717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262</v>
      </c>
      <c r="B33" s="5" t="s">
        <v>263</v>
      </c>
      <c r="C33" s="5" t="s">
        <v>619</v>
      </c>
      <c r="D33" s="5" t="s">
        <v>718</v>
      </c>
      <c r="E33" s="4" t="s">
        <v>716</v>
      </c>
      <c r="F33" s="14" t="s">
        <v>616</v>
      </c>
    </row>
    <row r="34" customFormat="false" ht="15" hidden="false" customHeight="false" outlineLevel="0" collapsed="false">
      <c r="A34" s="5" t="s">
        <v>265</v>
      </c>
      <c r="B34" s="5" t="s">
        <v>266</v>
      </c>
      <c r="C34" s="5" t="s">
        <v>613</v>
      </c>
      <c r="D34" s="5" t="s">
        <v>718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268</v>
      </c>
      <c r="B35" s="5" t="s">
        <v>269</v>
      </c>
      <c r="C35" s="5" t="s">
        <v>613</v>
      </c>
      <c r="D35" s="5" t="s">
        <v>719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271</v>
      </c>
      <c r="B36" s="4" t="s">
        <v>272</v>
      </c>
      <c r="C36" s="5" t="s">
        <v>622</v>
      </c>
      <c r="D36" s="5" t="s">
        <v>720</v>
      </c>
      <c r="E36" s="4" t="s">
        <v>653</v>
      </c>
      <c r="F36" s="14" t="s">
        <v>616</v>
      </c>
    </row>
    <row r="37" customFormat="false" ht="29.85" hidden="false" customHeight="false" outlineLevel="0" collapsed="false">
      <c r="A37" s="5" t="s">
        <v>274</v>
      </c>
      <c r="B37" s="4" t="s">
        <v>275</v>
      </c>
      <c r="C37" s="5" t="s">
        <v>613</v>
      </c>
      <c r="D37" s="5" t="s">
        <v>721</v>
      </c>
      <c r="E37" s="4" t="s">
        <v>615</v>
      </c>
      <c r="F37" s="21" t="s">
        <v>722</v>
      </c>
    </row>
    <row r="38" customFormat="false" ht="15" hidden="false" customHeight="false" outlineLevel="0" collapsed="false">
      <c r="A38" s="5" t="s">
        <v>277</v>
      </c>
      <c r="B38" s="4" t="s">
        <v>278</v>
      </c>
      <c r="C38" s="5" t="s">
        <v>613</v>
      </c>
      <c r="D38" s="5" t="s">
        <v>723</v>
      </c>
      <c r="E38" s="4" t="s">
        <v>615</v>
      </c>
      <c r="F38" s="21" t="s">
        <v>722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724</v>
      </c>
      <c r="B42" s="4" t="s">
        <v>725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726</v>
      </c>
      <c r="B43" s="4" t="s">
        <v>727</v>
      </c>
      <c r="C43" s="4"/>
      <c r="D43" s="4"/>
      <c r="E43" s="4"/>
      <c r="F43" s="14" t="s">
        <v>665</v>
      </c>
    </row>
    <row r="44" customFormat="false" ht="15" hidden="false" customHeight="true" outlineLevel="0" collapsed="false">
      <c r="A44" s="5" t="s">
        <v>728</v>
      </c>
      <c r="B44" s="4" t="s">
        <v>729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730</v>
      </c>
      <c r="B47" s="22"/>
      <c r="C47" s="22"/>
      <c r="D47" s="22"/>
      <c r="E47" s="22"/>
      <c r="F47" s="22"/>
    </row>
  </sheetData>
  <mergeCells count="17">
    <mergeCell ref="B5:F5"/>
    <mergeCell ref="B6:F6"/>
    <mergeCell ref="B7:F7"/>
    <mergeCell ref="B8:F8"/>
    <mergeCell ref="C12:F12"/>
    <mergeCell ref="C13:F13"/>
    <mergeCell ref="C14:F14"/>
    <mergeCell ref="C15:F15"/>
    <mergeCell ref="C16:F16"/>
    <mergeCell ref="B20:E20"/>
    <mergeCell ref="B21:E21"/>
    <mergeCell ref="B22:E22"/>
    <mergeCell ref="B23:F23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731</v>
      </c>
    </row>
    <row r="2" customFormat="false" ht="15" hidden="false" customHeight="false" outlineLevel="0" collapsed="false">
      <c r="A2" s="2" t="s">
        <v>732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733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734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735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736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737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280</v>
      </c>
      <c r="B13" s="4" t="s">
        <v>81</v>
      </c>
      <c r="C13" s="4" t="s">
        <v>282</v>
      </c>
      <c r="D13" s="4"/>
      <c r="E13" s="4"/>
      <c r="F13" s="4"/>
    </row>
    <row r="14" customFormat="false" ht="15" hidden="false" customHeight="true" outlineLevel="0" collapsed="false">
      <c r="A14" s="5" t="s">
        <v>283</v>
      </c>
      <c r="B14" s="4" t="s">
        <v>81</v>
      </c>
      <c r="C14" s="4" t="s">
        <v>284</v>
      </c>
      <c r="D14" s="4"/>
      <c r="E14" s="4"/>
      <c r="F14" s="4"/>
    </row>
    <row r="15" customFormat="false" ht="15" hidden="false" customHeight="true" outlineLevel="0" collapsed="false">
      <c r="A15" s="5" t="s">
        <v>285</v>
      </c>
      <c r="B15" s="4" t="s">
        <v>81</v>
      </c>
      <c r="C15" s="4" t="s">
        <v>286</v>
      </c>
      <c r="D15" s="4"/>
      <c r="E15" s="4"/>
      <c r="F15" s="4"/>
    </row>
    <row r="16" customFormat="false" ht="15" hidden="false" customHeight="true" outlineLevel="0" collapsed="false">
      <c r="A16" s="5" t="s">
        <v>287</v>
      </c>
      <c r="B16" s="4" t="s">
        <v>603</v>
      </c>
      <c r="C16" s="4" t="s">
        <v>288</v>
      </c>
      <c r="D16" s="4"/>
      <c r="E16" s="4"/>
      <c r="F16" s="4"/>
    </row>
    <row r="17" customFormat="false" ht="15" hidden="false" customHeight="true" outlineLevel="0" collapsed="false">
      <c r="A17" s="5" t="s">
        <v>289</v>
      </c>
      <c r="B17" s="4" t="s">
        <v>604</v>
      </c>
      <c r="C17" s="5" t="s">
        <v>290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291</v>
      </c>
      <c r="B21" s="4" t="s">
        <v>292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294</v>
      </c>
      <c r="B22" s="4" t="s">
        <v>295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296</v>
      </c>
      <c r="B23" s="4" t="s">
        <v>297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298</v>
      </c>
      <c r="B24" s="4" t="s">
        <v>299</v>
      </c>
      <c r="C24" s="4"/>
      <c r="D24" s="4"/>
      <c r="E24" s="4"/>
      <c r="F24" s="4" t="s">
        <v>607</v>
      </c>
    </row>
    <row r="25" customFormat="false" ht="15" hidden="false" customHeight="false" outlineLevel="0" collapsed="false">
      <c r="A25" s="9" t="s">
        <v>608</v>
      </c>
      <c r="B25" s="20" t="s">
        <v>293</v>
      </c>
      <c r="C25" s="20"/>
      <c r="D25" s="20"/>
      <c r="E25" s="20"/>
      <c r="F25" s="20"/>
    </row>
    <row r="27" customFormat="false" ht="19.4" hidden="false" customHeight="false" outlineLevel="0" collapsed="false">
      <c r="A27" s="6" t="s">
        <v>609</v>
      </c>
    </row>
    <row r="28" customFormat="false" ht="15" hidden="false" customHeight="false" outlineLevel="0" collapsed="false">
      <c r="A28" s="8" t="s">
        <v>45</v>
      </c>
      <c r="B28" s="8" t="s">
        <v>81</v>
      </c>
      <c r="C28" s="17" t="s">
        <v>610</v>
      </c>
      <c r="D28" s="17" t="s">
        <v>611</v>
      </c>
      <c r="E28" s="8" t="s">
        <v>612</v>
      </c>
      <c r="F28" s="8" t="s">
        <v>49</v>
      </c>
    </row>
    <row r="29" customFormat="false" ht="15" hidden="false" customHeight="false" outlineLevel="0" collapsed="false">
      <c r="A29" s="5" t="s">
        <v>300</v>
      </c>
      <c r="B29" s="4" t="s">
        <v>301</v>
      </c>
      <c r="C29" s="5" t="s">
        <v>619</v>
      </c>
      <c r="D29" s="5" t="s">
        <v>738</v>
      </c>
      <c r="E29" s="4" t="s">
        <v>739</v>
      </c>
      <c r="F29" s="14" t="s">
        <v>616</v>
      </c>
    </row>
    <row r="30" customFormat="false" ht="15" hidden="false" customHeight="false" outlineLevel="0" collapsed="false">
      <c r="A30" s="5" t="s">
        <v>303</v>
      </c>
      <c r="B30" s="4" t="s">
        <v>304</v>
      </c>
      <c r="C30" s="5" t="s">
        <v>613</v>
      </c>
      <c r="D30" s="5" t="s">
        <v>738</v>
      </c>
      <c r="E30" s="4" t="s">
        <v>740</v>
      </c>
      <c r="F30" s="14" t="s">
        <v>616</v>
      </c>
    </row>
    <row r="31" customFormat="false" ht="15" hidden="false" customHeight="false" outlineLevel="0" collapsed="false">
      <c r="A31" s="5" t="s">
        <v>306</v>
      </c>
      <c r="B31" s="4" t="s">
        <v>307</v>
      </c>
      <c r="C31" s="5" t="s">
        <v>622</v>
      </c>
      <c r="D31" s="5" t="s">
        <v>741</v>
      </c>
      <c r="E31" s="4" t="s">
        <v>742</v>
      </c>
      <c r="F31" s="14" t="s">
        <v>616</v>
      </c>
    </row>
    <row r="32" customFormat="false" ht="15" hidden="false" customHeight="false" outlineLevel="0" collapsed="false">
      <c r="A32" s="5" t="s">
        <v>309</v>
      </c>
      <c r="B32" s="4" t="s">
        <v>310</v>
      </c>
      <c r="C32" s="5" t="s">
        <v>622</v>
      </c>
      <c r="D32" s="5" t="s">
        <v>743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312</v>
      </c>
      <c r="B33" s="4" t="s">
        <v>313</v>
      </c>
      <c r="C33" s="5" t="s">
        <v>619</v>
      </c>
      <c r="D33" s="5" t="s">
        <v>744</v>
      </c>
      <c r="E33" s="4" t="s">
        <v>745</v>
      </c>
      <c r="F33" s="14" t="s">
        <v>616</v>
      </c>
    </row>
    <row r="34" customFormat="false" ht="15" hidden="false" customHeight="false" outlineLevel="0" collapsed="false">
      <c r="A34" s="5" t="s">
        <v>315</v>
      </c>
      <c r="B34" s="4" t="s">
        <v>316</v>
      </c>
      <c r="C34" s="5" t="s">
        <v>613</v>
      </c>
      <c r="D34" s="5" t="s">
        <v>746</v>
      </c>
      <c r="E34" s="4" t="s">
        <v>740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747</v>
      </c>
      <c r="B38" s="4" t="s">
        <v>748</v>
      </c>
      <c r="C38" s="4"/>
      <c r="D38" s="4"/>
      <c r="E38" s="4"/>
      <c r="F38" s="14" t="s">
        <v>749</v>
      </c>
    </row>
    <row r="39" customFormat="false" ht="15" hidden="false" customHeight="true" outlineLevel="0" collapsed="false">
      <c r="A39" s="5" t="s">
        <v>750</v>
      </c>
      <c r="B39" s="4" t="s">
        <v>751</v>
      </c>
      <c r="C39" s="4"/>
      <c r="D39" s="4"/>
      <c r="E39" s="4"/>
      <c r="F39" s="14" t="s">
        <v>752</v>
      </c>
    </row>
    <row r="40" customFormat="false" ht="15" hidden="false" customHeight="true" outlineLevel="0" collapsed="false">
      <c r="A40" s="5" t="s">
        <v>753</v>
      </c>
      <c r="B40" s="4" t="s">
        <v>754</v>
      </c>
      <c r="C40" s="4"/>
      <c r="D40" s="4"/>
      <c r="E40" s="4"/>
      <c r="F40" s="15" t="s">
        <v>755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756</v>
      </c>
      <c r="B43" s="22"/>
      <c r="C43" s="22"/>
      <c r="D43" s="22"/>
      <c r="E43" s="22"/>
      <c r="F43" s="22"/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B21:E21"/>
    <mergeCell ref="B22:E22"/>
    <mergeCell ref="B23:E23"/>
    <mergeCell ref="B24:E24"/>
    <mergeCell ref="B25:F25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757</v>
      </c>
    </row>
    <row r="2" customFormat="false" ht="15" hidden="false" customHeight="false" outlineLevel="0" collapsed="false">
      <c r="A2" s="2" t="s">
        <v>758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759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760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761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318</v>
      </c>
      <c r="B11" s="4" t="s">
        <v>81</v>
      </c>
      <c r="C11" s="4" t="s">
        <v>320</v>
      </c>
      <c r="D11" s="4"/>
      <c r="E11" s="4"/>
      <c r="F11" s="4"/>
    </row>
    <row r="12" customFormat="false" ht="15" hidden="false" customHeight="true" outlineLevel="0" collapsed="false">
      <c r="A12" s="5" t="s">
        <v>321</v>
      </c>
      <c r="B12" s="4" t="s">
        <v>81</v>
      </c>
      <c r="C12" s="4" t="s">
        <v>322</v>
      </c>
      <c r="D12" s="4"/>
      <c r="E12" s="4"/>
      <c r="F12" s="4"/>
    </row>
    <row r="13" customFormat="false" ht="15" hidden="false" customHeight="true" outlineLevel="0" collapsed="false">
      <c r="A13" s="5" t="s">
        <v>323</v>
      </c>
      <c r="B13" s="4" t="s">
        <v>604</v>
      </c>
      <c r="C13" s="4" t="s">
        <v>324</v>
      </c>
      <c r="D13" s="4"/>
      <c r="E13" s="4"/>
      <c r="F13" s="4"/>
    </row>
    <row r="15" customFormat="false" ht="19.4" hidden="false" customHeight="false" outlineLevel="0" collapsed="false">
      <c r="A15" s="6" t="s">
        <v>605</v>
      </c>
    </row>
    <row r="16" customFormat="false" ht="15" hidden="false" customHeight="false" outlineLevel="0" collapsed="false">
      <c r="A16" s="8" t="s">
        <v>45</v>
      </c>
      <c r="B16" s="8" t="s">
        <v>606</v>
      </c>
      <c r="C16" s="8"/>
      <c r="D16" s="8"/>
      <c r="E16" s="8"/>
      <c r="F16" s="8" t="s">
        <v>34</v>
      </c>
    </row>
    <row r="17" customFormat="false" ht="15" hidden="false" customHeight="true" outlineLevel="0" collapsed="false">
      <c r="A17" s="5" t="s">
        <v>325</v>
      </c>
      <c r="B17" s="5" t="s">
        <v>326</v>
      </c>
      <c r="C17" s="5"/>
      <c r="D17" s="5"/>
      <c r="E17" s="5"/>
      <c r="F17" s="4" t="s">
        <v>607</v>
      </c>
    </row>
    <row r="18" customFormat="false" ht="15" hidden="false" customHeight="true" outlineLevel="0" collapsed="false">
      <c r="A18" s="5" t="s">
        <v>328</v>
      </c>
      <c r="B18" s="5" t="s">
        <v>329</v>
      </c>
      <c r="C18" s="5"/>
      <c r="D18" s="5"/>
      <c r="E18" s="5"/>
      <c r="F18" s="4" t="s">
        <v>607</v>
      </c>
    </row>
    <row r="19" customFormat="false" ht="15" hidden="false" customHeight="false" outlineLevel="0" collapsed="false">
      <c r="A19" s="9" t="s">
        <v>608</v>
      </c>
      <c r="B19" s="20" t="s">
        <v>327</v>
      </c>
      <c r="C19" s="20"/>
      <c r="D19" s="20"/>
      <c r="E19" s="20"/>
      <c r="F19" s="20"/>
    </row>
    <row r="21" customFormat="false" ht="19.4" hidden="false" customHeight="false" outlineLevel="0" collapsed="false">
      <c r="A21" s="6" t="s">
        <v>609</v>
      </c>
    </row>
    <row r="22" customFormat="false" ht="15" hidden="false" customHeight="false" outlineLevel="0" collapsed="false">
      <c r="A22" s="8" t="s">
        <v>45</v>
      </c>
      <c r="B22" s="8" t="s">
        <v>81</v>
      </c>
      <c r="C22" s="17" t="s">
        <v>610</v>
      </c>
      <c r="D22" s="17" t="s">
        <v>611</v>
      </c>
      <c r="E22" s="8" t="s">
        <v>612</v>
      </c>
      <c r="F22" s="8" t="s">
        <v>49</v>
      </c>
    </row>
    <row r="23" customFormat="false" ht="15" hidden="false" customHeight="false" outlineLevel="0" collapsed="false">
      <c r="A23" s="5" t="s">
        <v>330</v>
      </c>
      <c r="B23" s="4" t="s">
        <v>331</v>
      </c>
      <c r="C23" s="5" t="s">
        <v>619</v>
      </c>
      <c r="D23" s="5" t="s">
        <v>762</v>
      </c>
      <c r="E23" s="4" t="s">
        <v>621</v>
      </c>
      <c r="F23" s="14" t="s">
        <v>616</v>
      </c>
    </row>
    <row r="24" customFormat="false" ht="15" hidden="false" customHeight="false" outlineLevel="0" collapsed="false">
      <c r="A24" s="5" t="s">
        <v>333</v>
      </c>
      <c r="B24" s="4" t="s">
        <v>334</v>
      </c>
      <c r="C24" s="5" t="s">
        <v>613</v>
      </c>
      <c r="D24" s="5" t="s">
        <v>762</v>
      </c>
      <c r="E24" s="4" t="s">
        <v>653</v>
      </c>
      <c r="F24" s="14" t="s">
        <v>616</v>
      </c>
    </row>
    <row r="25" customFormat="false" ht="15" hidden="false" customHeight="false" outlineLevel="0" collapsed="false">
      <c r="A25" s="5" t="s">
        <v>336</v>
      </c>
      <c r="B25" s="4" t="s">
        <v>337</v>
      </c>
      <c r="C25" s="5" t="s">
        <v>701</v>
      </c>
      <c r="D25" s="5" t="s">
        <v>763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339</v>
      </c>
      <c r="B26" s="4" t="s">
        <v>340</v>
      </c>
      <c r="C26" s="5" t="s">
        <v>622</v>
      </c>
      <c r="D26" s="5" t="s">
        <v>763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342</v>
      </c>
      <c r="B27" s="4" t="s">
        <v>343</v>
      </c>
      <c r="C27" s="5" t="s">
        <v>619</v>
      </c>
      <c r="D27" s="5" t="s">
        <v>764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345</v>
      </c>
      <c r="B28" s="4" t="s">
        <v>346</v>
      </c>
      <c r="C28" s="5" t="s">
        <v>613</v>
      </c>
      <c r="D28" s="5" t="s">
        <v>764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348</v>
      </c>
      <c r="B29" s="4" t="s">
        <v>349</v>
      </c>
      <c r="C29" s="5" t="s">
        <v>622</v>
      </c>
      <c r="D29" s="5" t="s">
        <v>765</v>
      </c>
      <c r="E29" s="4" t="s">
        <v>653</v>
      </c>
      <c r="F29" s="14" t="s">
        <v>616</v>
      </c>
    </row>
    <row r="30" customFormat="false" ht="15" hidden="false" customHeight="false" outlineLevel="0" collapsed="false">
      <c r="A30" s="5" t="s">
        <v>351</v>
      </c>
      <c r="B30" s="4" t="s">
        <v>352</v>
      </c>
      <c r="C30" s="5" t="s">
        <v>619</v>
      </c>
      <c r="D30" s="5" t="s">
        <v>766</v>
      </c>
      <c r="E30" s="4" t="s">
        <v>621</v>
      </c>
      <c r="F30" s="14" t="s">
        <v>616</v>
      </c>
    </row>
    <row r="31" customFormat="false" ht="15" hidden="false" customHeight="false" outlineLevel="0" collapsed="false">
      <c r="A31" s="5" t="s">
        <v>354</v>
      </c>
      <c r="B31" s="4" t="s">
        <v>355</v>
      </c>
      <c r="C31" s="5" t="s">
        <v>613</v>
      </c>
      <c r="D31" s="5" t="s">
        <v>766</v>
      </c>
      <c r="E31" s="4" t="s">
        <v>653</v>
      </c>
      <c r="F31" s="14" t="s">
        <v>616</v>
      </c>
    </row>
    <row r="32" customFormat="false" ht="15" hidden="false" customHeight="false" outlineLevel="0" collapsed="false">
      <c r="A32" s="5" t="s">
        <v>357</v>
      </c>
      <c r="B32" s="4" t="s">
        <v>358</v>
      </c>
      <c r="C32" s="5" t="s">
        <v>701</v>
      </c>
      <c r="D32" s="5" t="s">
        <v>767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360</v>
      </c>
      <c r="B33" s="4" t="s">
        <v>361</v>
      </c>
      <c r="C33" s="5" t="s">
        <v>622</v>
      </c>
      <c r="D33" s="5" t="s">
        <v>767</v>
      </c>
      <c r="E33" s="4" t="s">
        <v>653</v>
      </c>
      <c r="F33" s="14" t="s">
        <v>616</v>
      </c>
    </row>
    <row r="34" customFormat="false" ht="15" hidden="false" customHeight="false" outlineLevel="0" collapsed="false">
      <c r="A34" s="5" t="s">
        <v>363</v>
      </c>
      <c r="B34" s="4" t="s">
        <v>364</v>
      </c>
      <c r="C34" s="5" t="s">
        <v>619</v>
      </c>
      <c r="D34" s="5" t="s">
        <v>768</v>
      </c>
      <c r="E34" s="4" t="s">
        <v>650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769</v>
      </c>
      <c r="B38" s="5" t="s">
        <v>770</v>
      </c>
      <c r="C38" s="5"/>
      <c r="D38" s="5"/>
      <c r="E38" s="5"/>
      <c r="F38" s="14" t="s">
        <v>74</v>
      </c>
    </row>
    <row r="39" customFormat="false" ht="15" hidden="false" customHeight="true" outlineLevel="0" collapsed="false">
      <c r="A39" s="5" t="s">
        <v>771</v>
      </c>
      <c r="B39" s="4" t="s">
        <v>772</v>
      </c>
      <c r="C39" s="4"/>
      <c r="D39" s="4"/>
      <c r="E39" s="4"/>
      <c r="F39" s="14" t="s">
        <v>74</v>
      </c>
    </row>
    <row r="40" customFormat="false" ht="15" hidden="false" customHeight="true" outlineLevel="0" collapsed="false">
      <c r="A40" s="5" t="s">
        <v>773</v>
      </c>
      <c r="B40" s="5" t="s">
        <v>774</v>
      </c>
      <c r="C40" s="5"/>
      <c r="D40" s="5"/>
      <c r="E40" s="5"/>
      <c r="F40" s="14" t="s">
        <v>775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776</v>
      </c>
      <c r="B43" s="22"/>
      <c r="C43" s="22"/>
      <c r="D43" s="22"/>
      <c r="E43" s="22"/>
      <c r="F43" s="22"/>
    </row>
  </sheetData>
  <mergeCells count="13">
    <mergeCell ref="B5:F5"/>
    <mergeCell ref="B6:F6"/>
    <mergeCell ref="B7:F7"/>
    <mergeCell ref="C11:F11"/>
    <mergeCell ref="C12:F12"/>
    <mergeCell ref="C13:F13"/>
    <mergeCell ref="B17:E17"/>
    <mergeCell ref="B18:E18"/>
    <mergeCell ref="B19:F19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779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780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781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366</v>
      </c>
      <c r="B11" s="4" t="s">
        <v>81</v>
      </c>
      <c r="C11" s="4" t="s">
        <v>368</v>
      </c>
      <c r="D11" s="4"/>
      <c r="E11" s="4"/>
      <c r="F11" s="4"/>
    </row>
    <row r="12" customFormat="false" ht="15" hidden="false" customHeight="true" outlineLevel="0" collapsed="false">
      <c r="A12" s="5" t="s">
        <v>369</v>
      </c>
      <c r="B12" s="4" t="s">
        <v>81</v>
      </c>
      <c r="C12" s="4" t="s">
        <v>370</v>
      </c>
      <c r="D12" s="4"/>
      <c r="E12" s="4"/>
      <c r="F12" s="4"/>
    </row>
    <row r="13" customFormat="false" ht="15" hidden="false" customHeight="true" outlineLevel="0" collapsed="false">
      <c r="A13" s="5" t="s">
        <v>371</v>
      </c>
      <c r="B13" s="4" t="s">
        <v>604</v>
      </c>
      <c r="C13" s="4" t="s">
        <v>372</v>
      </c>
      <c r="D13" s="4"/>
      <c r="E13" s="4"/>
      <c r="F13" s="4"/>
    </row>
    <row r="14" customFormat="false" ht="15" hidden="false" customHeight="true" outlineLevel="0" collapsed="false">
      <c r="A14" s="5" t="s">
        <v>373</v>
      </c>
      <c r="B14" s="4" t="s">
        <v>604</v>
      </c>
      <c r="C14" s="4" t="s">
        <v>374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375</v>
      </c>
      <c r="B18" s="5" t="s">
        <v>376</v>
      </c>
      <c r="C18" s="5"/>
      <c r="D18" s="5"/>
      <c r="E18" s="5"/>
      <c r="F18" s="4" t="s">
        <v>607</v>
      </c>
    </row>
    <row r="19" customFormat="false" ht="15" hidden="false" customHeight="true" outlineLevel="0" collapsed="false">
      <c r="A19" s="5" t="s">
        <v>378</v>
      </c>
      <c r="B19" s="4" t="s">
        <v>379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377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380</v>
      </c>
      <c r="B24" s="4" t="s">
        <v>381</v>
      </c>
      <c r="C24" s="5" t="s">
        <v>619</v>
      </c>
      <c r="D24" s="5" t="s">
        <v>782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383</v>
      </c>
      <c r="B25" s="4" t="s">
        <v>384</v>
      </c>
      <c r="C25" s="5" t="s">
        <v>613</v>
      </c>
      <c r="D25" s="5" t="s">
        <v>782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386</v>
      </c>
      <c r="B26" s="4" t="s">
        <v>387</v>
      </c>
      <c r="C26" s="5" t="s">
        <v>622</v>
      </c>
      <c r="D26" s="5" t="s">
        <v>783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389</v>
      </c>
      <c r="B27" s="4" t="s">
        <v>390</v>
      </c>
      <c r="C27" s="5" t="s">
        <v>613</v>
      </c>
      <c r="D27" s="5" t="s">
        <v>784</v>
      </c>
      <c r="E27" s="4" t="s">
        <v>653</v>
      </c>
      <c r="F27" s="14" t="s">
        <v>616</v>
      </c>
    </row>
    <row r="29" customFormat="false" ht="19.4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17" t="s">
        <v>630</v>
      </c>
      <c r="B30" s="8" t="s">
        <v>631</v>
      </c>
      <c r="C30" s="8"/>
      <c r="D30" s="8"/>
      <c r="E30" s="8"/>
      <c r="F30" s="8" t="s">
        <v>49</v>
      </c>
    </row>
    <row r="31" customFormat="false" ht="15" hidden="false" customHeight="true" outlineLevel="0" collapsed="false">
      <c r="A31" s="5" t="s">
        <v>785</v>
      </c>
      <c r="B31" s="4" t="s">
        <v>786</v>
      </c>
      <c r="C31" s="4"/>
      <c r="D31" s="4"/>
      <c r="E31" s="4"/>
      <c r="F31" s="14" t="s">
        <v>74</v>
      </c>
    </row>
    <row r="32" customFormat="false" ht="15" hidden="false" customHeight="true" outlineLevel="0" collapsed="false">
      <c r="A32" s="5" t="s">
        <v>787</v>
      </c>
      <c r="B32" s="5" t="s">
        <v>788</v>
      </c>
      <c r="C32" s="5"/>
      <c r="D32" s="5"/>
      <c r="E32" s="5"/>
      <c r="F32" s="14" t="s">
        <v>74</v>
      </c>
    </row>
    <row r="33" customFormat="false" ht="15" hidden="false" customHeight="true" outlineLevel="0" collapsed="false">
      <c r="A33" s="5" t="s">
        <v>789</v>
      </c>
      <c r="B33" s="4" t="s">
        <v>790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3" t="s">
        <v>791</v>
      </c>
      <c r="B36" s="23"/>
      <c r="C36" s="23"/>
      <c r="D36" s="23"/>
      <c r="E36" s="23"/>
      <c r="F36" s="23"/>
    </row>
  </sheetData>
  <mergeCells count="14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1:E31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792</v>
      </c>
    </row>
    <row r="2" customFormat="false" ht="15" hidden="false" customHeight="false" outlineLevel="0" collapsed="false">
      <c r="A2" s="2" t="s">
        <v>793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794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795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796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797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798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392</v>
      </c>
      <c r="B13" s="4" t="s">
        <v>81</v>
      </c>
      <c r="C13" s="4" t="s">
        <v>394</v>
      </c>
      <c r="D13" s="4"/>
      <c r="E13" s="4"/>
      <c r="F13" s="4"/>
    </row>
    <row r="14" customFormat="false" ht="15" hidden="false" customHeight="true" outlineLevel="0" collapsed="false">
      <c r="A14" s="5" t="s">
        <v>395</v>
      </c>
      <c r="B14" s="4" t="s">
        <v>81</v>
      </c>
      <c r="C14" s="4" t="s">
        <v>396</v>
      </c>
      <c r="D14" s="4"/>
      <c r="E14" s="4"/>
      <c r="F14" s="4"/>
    </row>
    <row r="15" customFormat="false" ht="15" hidden="false" customHeight="true" outlineLevel="0" collapsed="false">
      <c r="A15" s="5" t="s">
        <v>397</v>
      </c>
      <c r="B15" s="4" t="s">
        <v>81</v>
      </c>
      <c r="C15" s="4" t="s">
        <v>398</v>
      </c>
      <c r="D15" s="4"/>
      <c r="E15" s="4"/>
      <c r="F15" s="4"/>
    </row>
    <row r="16" customFormat="false" ht="15" hidden="false" customHeight="true" outlineLevel="0" collapsed="false">
      <c r="A16" s="5" t="s">
        <v>399</v>
      </c>
      <c r="B16" s="4" t="s">
        <v>81</v>
      </c>
      <c r="C16" s="4" t="s">
        <v>400</v>
      </c>
      <c r="D16" s="4"/>
      <c r="E16" s="4"/>
      <c r="F16" s="4"/>
    </row>
    <row r="17" customFormat="false" ht="15" hidden="false" customHeight="true" outlineLevel="0" collapsed="false">
      <c r="A17" s="5" t="s">
        <v>401</v>
      </c>
      <c r="B17" s="4" t="s">
        <v>604</v>
      </c>
      <c r="C17" s="4" t="s">
        <v>402</v>
      </c>
      <c r="D17" s="4"/>
      <c r="E17" s="4"/>
      <c r="F17" s="4"/>
    </row>
    <row r="18" customFormat="false" ht="29.85" hidden="false" customHeight="true" outlineLevel="0" collapsed="false">
      <c r="A18" s="5" t="s">
        <v>403</v>
      </c>
      <c r="B18" s="4" t="s">
        <v>604</v>
      </c>
      <c r="C18" s="4" t="s">
        <v>404</v>
      </c>
      <c r="D18" s="4"/>
      <c r="E18" s="4"/>
      <c r="F18" s="4"/>
    </row>
    <row r="20" customFormat="false" ht="19.4" hidden="false" customHeight="false" outlineLevel="0" collapsed="false">
      <c r="A20" s="6" t="s">
        <v>605</v>
      </c>
    </row>
    <row r="21" customFormat="false" ht="15" hidden="false" customHeight="false" outlineLevel="0" collapsed="false">
      <c r="A21" s="8" t="s">
        <v>45</v>
      </c>
      <c r="B21" s="8" t="s">
        <v>606</v>
      </c>
      <c r="C21" s="8"/>
      <c r="D21" s="8"/>
      <c r="E21" s="8"/>
      <c r="F21" s="8" t="s">
        <v>34</v>
      </c>
    </row>
    <row r="22" customFormat="false" ht="15" hidden="false" customHeight="true" outlineLevel="0" collapsed="false">
      <c r="A22" s="5" t="s">
        <v>405</v>
      </c>
      <c r="B22" s="5" t="s">
        <v>406</v>
      </c>
      <c r="C22" s="5"/>
      <c r="D22" s="5"/>
      <c r="E22" s="5"/>
      <c r="F22" s="4" t="s">
        <v>607</v>
      </c>
    </row>
    <row r="23" customFormat="false" ht="15" hidden="false" customHeight="true" outlineLevel="0" collapsed="false">
      <c r="A23" s="5" t="s">
        <v>408</v>
      </c>
      <c r="B23" s="5" t="s">
        <v>409</v>
      </c>
      <c r="C23" s="5"/>
      <c r="D23" s="5"/>
      <c r="E23" s="5"/>
      <c r="F23" s="4" t="s">
        <v>607</v>
      </c>
    </row>
    <row r="24" customFormat="false" ht="15" hidden="false" customHeight="true" outlineLevel="0" collapsed="false">
      <c r="A24" s="5" t="s">
        <v>410</v>
      </c>
      <c r="B24" s="4" t="s">
        <v>411</v>
      </c>
      <c r="C24" s="4"/>
      <c r="D24" s="4"/>
      <c r="E24" s="4"/>
      <c r="F24" s="4" t="s">
        <v>607</v>
      </c>
    </row>
    <row r="25" customFormat="false" ht="15" hidden="false" customHeight="true" outlineLevel="0" collapsed="false">
      <c r="A25" s="5" t="s">
        <v>412</v>
      </c>
      <c r="B25" s="4" t="s">
        <v>413</v>
      </c>
      <c r="C25" s="4"/>
      <c r="D25" s="4"/>
      <c r="E25" s="4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407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414</v>
      </c>
      <c r="B30" s="4" t="s">
        <v>415</v>
      </c>
      <c r="C30" s="5" t="s">
        <v>619</v>
      </c>
      <c r="D30" s="5" t="s">
        <v>799</v>
      </c>
      <c r="E30" s="4" t="s">
        <v>650</v>
      </c>
      <c r="F30" s="14" t="s">
        <v>616</v>
      </c>
    </row>
    <row r="31" customFormat="false" ht="15" hidden="false" customHeight="false" outlineLevel="0" collapsed="false">
      <c r="A31" s="5" t="s">
        <v>417</v>
      </c>
      <c r="B31" s="4" t="s">
        <v>418</v>
      </c>
      <c r="C31" s="5" t="s">
        <v>613</v>
      </c>
      <c r="D31" s="5" t="s">
        <v>799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420</v>
      </c>
      <c r="B32" s="4" t="s">
        <v>421</v>
      </c>
      <c r="C32" s="5" t="s">
        <v>622</v>
      </c>
      <c r="D32" s="5" t="s">
        <v>800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423</v>
      </c>
      <c r="B33" s="4" t="s">
        <v>424</v>
      </c>
      <c r="C33" s="5" t="s">
        <v>622</v>
      </c>
      <c r="D33" s="5" t="s">
        <v>801</v>
      </c>
      <c r="E33" s="4" t="s">
        <v>650</v>
      </c>
      <c r="F33" s="14" t="s">
        <v>616</v>
      </c>
    </row>
    <row r="34" customFormat="false" ht="15" hidden="false" customHeight="false" outlineLevel="0" collapsed="false">
      <c r="A34" s="5" t="s">
        <v>426</v>
      </c>
      <c r="B34" s="4" t="s">
        <v>427</v>
      </c>
      <c r="C34" s="5" t="s">
        <v>619</v>
      </c>
      <c r="D34" s="5" t="s">
        <v>802</v>
      </c>
      <c r="E34" s="4" t="s">
        <v>650</v>
      </c>
      <c r="F34" s="14" t="s">
        <v>616</v>
      </c>
    </row>
    <row r="35" customFormat="false" ht="15" hidden="false" customHeight="false" outlineLevel="0" collapsed="false">
      <c r="A35" s="5" t="s">
        <v>429</v>
      </c>
      <c r="B35" s="4" t="s">
        <v>430</v>
      </c>
      <c r="C35" s="5" t="s">
        <v>613</v>
      </c>
      <c r="D35" s="5" t="s">
        <v>802</v>
      </c>
      <c r="E35" s="4" t="s">
        <v>650</v>
      </c>
      <c r="F35" s="14" t="s">
        <v>616</v>
      </c>
    </row>
    <row r="36" customFormat="false" ht="15" hidden="false" customHeight="false" outlineLevel="0" collapsed="false">
      <c r="A36" s="5" t="s">
        <v>432</v>
      </c>
      <c r="B36" s="4" t="s">
        <v>433</v>
      </c>
      <c r="C36" s="5" t="s">
        <v>701</v>
      </c>
      <c r="D36" s="5" t="s">
        <v>803</v>
      </c>
      <c r="E36" s="4" t="s">
        <v>627</v>
      </c>
      <c r="F36" s="14" t="s">
        <v>616</v>
      </c>
    </row>
    <row r="37" customFormat="false" ht="15" hidden="false" customHeight="false" outlineLevel="0" collapsed="false">
      <c r="A37" s="5" t="s">
        <v>435</v>
      </c>
      <c r="B37" s="4" t="s">
        <v>436</v>
      </c>
      <c r="C37" s="5" t="s">
        <v>619</v>
      </c>
      <c r="D37" s="5" t="s">
        <v>803</v>
      </c>
      <c r="E37" s="4" t="s">
        <v>650</v>
      </c>
      <c r="F37" s="14" t="s">
        <v>616</v>
      </c>
    </row>
    <row r="38" customFormat="false" ht="15" hidden="false" customHeight="false" outlineLevel="0" collapsed="false">
      <c r="A38" s="5" t="s">
        <v>438</v>
      </c>
      <c r="B38" s="4" t="s">
        <v>439</v>
      </c>
      <c r="C38" s="5" t="s">
        <v>619</v>
      </c>
      <c r="D38" s="5" t="s">
        <v>804</v>
      </c>
      <c r="E38" s="4" t="s">
        <v>627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805</v>
      </c>
      <c r="B42" s="4" t="s">
        <v>806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807</v>
      </c>
      <c r="B43" s="4" t="s">
        <v>808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809</v>
      </c>
      <c r="B44" s="5" t="s">
        <v>810</v>
      </c>
      <c r="C44" s="5"/>
      <c r="D44" s="5"/>
      <c r="E44" s="5"/>
      <c r="F44" s="14" t="s">
        <v>74</v>
      </c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B22:E22"/>
    <mergeCell ref="B23:E23"/>
    <mergeCell ref="B24:E24"/>
    <mergeCell ref="B25:E25"/>
    <mergeCell ref="B26:F26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23.85" hidden="false" customHeight="false" outlineLevel="0" collapsed="false">
      <c r="A1" s="1" t="s">
        <v>811</v>
      </c>
    </row>
    <row r="2" customFormat="false" ht="15" hidden="false" customHeight="false" outlineLevel="0" collapsed="false">
      <c r="A2" s="2" t="s">
        <v>812</v>
      </c>
    </row>
    <row r="4" customFormat="false" ht="15" hidden="false" customHeight="false" outlineLevel="0" collapsed="false">
      <c r="A4" s="17" t="s">
        <v>813</v>
      </c>
      <c r="B4" s="17" t="s">
        <v>814</v>
      </c>
      <c r="C4" s="8" t="s">
        <v>815</v>
      </c>
      <c r="D4" s="8" t="s">
        <v>816</v>
      </c>
      <c r="E4" s="8" t="s">
        <v>49</v>
      </c>
    </row>
    <row r="5" customFormat="false" ht="15" hidden="false" customHeight="false" outlineLevel="0" collapsed="false">
      <c r="A5" s="5" t="s">
        <v>449</v>
      </c>
      <c r="B5" s="4" t="s">
        <v>452</v>
      </c>
      <c r="C5" s="4" t="s">
        <v>817</v>
      </c>
      <c r="D5" s="4" t="s">
        <v>818</v>
      </c>
      <c r="E5" s="15" t="s">
        <v>30</v>
      </c>
    </row>
    <row r="6" customFormat="false" ht="15" hidden="false" customHeight="false" outlineLevel="0" collapsed="false">
      <c r="A6" s="5" t="s">
        <v>453</v>
      </c>
      <c r="B6" s="4" t="s">
        <v>455</v>
      </c>
      <c r="C6" s="4" t="s">
        <v>819</v>
      </c>
      <c r="D6" s="4" t="s">
        <v>820</v>
      </c>
      <c r="E6" s="15" t="s">
        <v>30</v>
      </c>
    </row>
    <row r="7" customFormat="false" ht="15" hidden="false" customHeight="false" outlineLevel="0" collapsed="false">
      <c r="A7" s="5" t="s">
        <v>456</v>
      </c>
      <c r="B7" s="4" t="s">
        <v>458</v>
      </c>
      <c r="C7" s="4" t="s">
        <v>821</v>
      </c>
      <c r="D7" s="5" t="s">
        <v>822</v>
      </c>
      <c r="E7" s="15" t="s">
        <v>30</v>
      </c>
    </row>
    <row r="8" customFormat="false" ht="15" hidden="false" customHeight="false" outlineLevel="0" collapsed="false">
      <c r="A8" s="5" t="s">
        <v>459</v>
      </c>
      <c r="B8" s="4" t="s">
        <v>461</v>
      </c>
      <c r="C8" s="4" t="s">
        <v>823</v>
      </c>
      <c r="D8" s="5" t="s">
        <v>824</v>
      </c>
      <c r="E8" s="15" t="s">
        <v>30</v>
      </c>
    </row>
    <row r="9" customFormat="false" ht="26.85" hidden="false" customHeight="false" outlineLevel="0" collapsed="false">
      <c r="A9" s="5" t="s">
        <v>462</v>
      </c>
      <c r="B9" s="4" t="s">
        <v>464</v>
      </c>
      <c r="C9" s="4" t="s">
        <v>825</v>
      </c>
      <c r="D9" s="5" t="s">
        <v>826</v>
      </c>
      <c r="E9" s="15" t="s">
        <v>30</v>
      </c>
    </row>
    <row r="10" customFormat="false" ht="15" hidden="false" customHeight="false" outlineLevel="0" collapsed="false">
      <c r="A10" s="5" t="s">
        <v>465</v>
      </c>
      <c r="B10" s="5" t="s">
        <v>467</v>
      </c>
      <c r="C10" s="4" t="s">
        <v>827</v>
      </c>
      <c r="D10" s="4" t="s">
        <v>828</v>
      </c>
      <c r="E10" s="15" t="s">
        <v>30</v>
      </c>
    </row>
    <row r="11" customFormat="false" ht="15" hidden="false" customHeight="false" outlineLevel="0" collapsed="false">
      <c r="A11" s="5" t="s">
        <v>468</v>
      </c>
      <c r="B11" s="4" t="s">
        <v>470</v>
      </c>
      <c r="C11" s="4" t="s">
        <v>829</v>
      </c>
      <c r="D11" s="4" t="s">
        <v>830</v>
      </c>
      <c r="E11" s="15" t="s">
        <v>30</v>
      </c>
    </row>
    <row r="13" customFormat="false" ht="19.4" hidden="false" customHeight="false" outlineLevel="0" collapsed="false">
      <c r="A13" s="24" t="s">
        <v>831</v>
      </c>
    </row>
    <row r="14" customFormat="false" ht="36" hidden="false" customHeight="true" outlineLevel="0" collapsed="false">
      <c r="A14" s="22" t="s">
        <v>832</v>
      </c>
      <c r="B14" s="22"/>
      <c r="C14" s="22"/>
      <c r="D14" s="22"/>
      <c r="E14" s="22"/>
    </row>
    <row r="16" customFormat="false" ht="15" hidden="false" customHeight="false" outlineLevel="0" collapsed="false">
      <c r="A16" s="6" t="s">
        <v>833</v>
      </c>
    </row>
    <row r="17" customFormat="false" ht="36" hidden="false" customHeight="true" outlineLevel="0" collapsed="false">
      <c r="A17" s="22" t="s">
        <v>834</v>
      </c>
      <c r="B17" s="22"/>
      <c r="C17" s="22"/>
      <c r="D17" s="22"/>
      <c r="E17" s="22"/>
    </row>
  </sheetData>
  <mergeCells count="2">
    <mergeCell ref="A14:E14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835</v>
      </c>
    </row>
    <row r="2" customFormat="false" ht="15" hidden="false" customHeight="false" outlineLevel="0" collapsed="false">
      <c r="A2" s="2" t="s">
        <v>836</v>
      </c>
    </row>
    <row r="4" customFormat="false" ht="15" hidden="false" customHeight="false" outlineLevel="0" collapsed="false">
      <c r="A4" s="8" t="s">
        <v>46</v>
      </c>
      <c r="B4" s="8" t="s">
        <v>837</v>
      </c>
      <c r="C4" s="8" t="s">
        <v>838</v>
      </c>
    </row>
    <row r="5" customFormat="false" ht="15" hidden="false" customHeight="false" outlineLevel="0" collapsed="false">
      <c r="A5" s="5" t="s">
        <v>839</v>
      </c>
      <c r="B5" s="4" t="s">
        <v>840</v>
      </c>
      <c r="C5" s="4" t="s">
        <v>841</v>
      </c>
    </row>
    <row r="6" customFormat="false" ht="15" hidden="false" customHeight="false" outlineLevel="0" collapsed="false">
      <c r="A6" s="5" t="s">
        <v>842</v>
      </c>
      <c r="B6" s="4" t="s">
        <v>843</v>
      </c>
      <c r="C6" s="4" t="s">
        <v>844</v>
      </c>
    </row>
    <row r="7" customFormat="false" ht="15" hidden="false" customHeight="false" outlineLevel="0" collapsed="false">
      <c r="A7" s="5" t="s">
        <v>845</v>
      </c>
      <c r="B7" s="4" t="s">
        <v>846</v>
      </c>
      <c r="C7" s="4" t="s">
        <v>847</v>
      </c>
    </row>
    <row r="8" customFormat="false" ht="15" hidden="false" customHeight="false" outlineLevel="0" collapsed="false">
      <c r="A8" s="5" t="s">
        <v>848</v>
      </c>
      <c r="B8" s="4" t="s">
        <v>849</v>
      </c>
      <c r="C8" s="4" t="s">
        <v>850</v>
      </c>
    </row>
    <row r="9" customFormat="false" ht="15" hidden="false" customHeight="false" outlineLevel="0" collapsed="false">
      <c r="A9" s="5" t="s">
        <v>851</v>
      </c>
      <c r="B9" s="4" t="s">
        <v>852</v>
      </c>
      <c r="C9" s="4" t="s">
        <v>853</v>
      </c>
    </row>
    <row r="10" customFormat="false" ht="15" hidden="false" customHeight="false" outlineLevel="0" collapsed="false">
      <c r="A10" s="5" t="s">
        <v>854</v>
      </c>
      <c r="B10" s="5" t="s">
        <v>855</v>
      </c>
      <c r="C10" s="4" t="s">
        <v>856</v>
      </c>
    </row>
    <row r="11" customFormat="false" ht="29.85" hidden="false" customHeight="false" outlineLevel="0" collapsed="false">
      <c r="A11" s="5" t="s">
        <v>857</v>
      </c>
      <c r="B11" s="4" t="s">
        <v>858</v>
      </c>
      <c r="C11" s="4" t="s">
        <v>859</v>
      </c>
    </row>
    <row r="13" customFormat="false" ht="15" hidden="false" customHeight="false" outlineLevel="0" collapsed="false">
      <c r="A13" s="6" t="s">
        <v>860</v>
      </c>
    </row>
    <row r="14" customFormat="false" ht="90" hidden="false" customHeight="true" outlineLevel="0" collapsed="false">
      <c r="A14" s="22" t="s">
        <v>861</v>
      </c>
      <c r="B14" s="22"/>
      <c r="C14" s="22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2026-10-05T17:44:46Z</dcterms:created>
  <dc:creator>openpyxl</dc:creator>
  <dc:description/>
  <dc:language>en-US</dc:language>
  <cp:lastModifiedBy/>
  <dcterms:modified xsi:type="dcterms:W3CDTF">2026-10-05T17:44:47Z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